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7A47A2-155C-4545-94F4-FB799015C18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  <sheet name="Answer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6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2" i="2"/>
  <c r="G41" i="2"/>
  <c r="G40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4" i="2"/>
  <c r="H3" i="2"/>
  <c r="H2" i="2"/>
  <c r="G39" i="2"/>
  <c r="G38" i="2"/>
  <c r="G37" i="2"/>
  <c r="E36" i="2"/>
</calcChain>
</file>

<file path=xl/sharedStrings.xml><?xml version="1.0" encoding="utf-8"?>
<sst xmlns="http://schemas.openxmlformats.org/spreadsheetml/2006/main" count="183" uniqueCount="137">
  <si>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</si>
  <si>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</si>
  <si>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</si>
  <si>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</si>
  <si>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</si>
  <si>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</si>
  <si>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</si>
  <si>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</si>
  <si>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</si>
  <si>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</si>
  <si>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</si>
  <si>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</si>
  <si>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</si>
  <si>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</si>
  <si>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</si>
  <si>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</si>
  <si>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</si>
  <si>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</si>
  <si>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</si>
  <si>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</si>
  <si>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</si>
  <si>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</si>
  <si>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</si>
  <si>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</si>
  <si>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</si>
  <si>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</si>
  <si>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</si>
  <si>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</si>
  <si>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</si>
  <si>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</si>
  <si>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</si>
  <si>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</si>
  <si>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</si>
  <si>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</si>
  <si>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</si>
  <si>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</si>
  <si>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</si>
  <si>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</si>
  <si>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</si>
  <si>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</si>
  <si>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</si>
  <si>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</si>
  <si>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</si>
  <si>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</si>
  <si>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</si>
  <si>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</si>
  <si>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</si>
  <si>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</si>
  <si>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</si>
  <si>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</si>
  <si>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</si>
  <si>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</si>
  <si>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</si>
  <si>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</si>
  <si>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</si>
  <si>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</si>
  <si>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</si>
  <si>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</si>
  <si>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</si>
  <si>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</si>
  <si>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</si>
  <si>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</si>
  <si>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</si>
  <si>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</si>
  <si>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</si>
  <si>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</si>
  <si>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</si>
  <si>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</si>
  <si>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</si>
  <si>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</si>
  <si>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</si>
  <si>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</si>
  <si>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</si>
  <si>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</si>
  <si>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</si>
  <si>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</si>
  <si>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</si>
  <si>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</si>
  <si>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</si>
  <si>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</si>
  <si>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</si>
  <si>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</si>
  <si>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</si>
  <si>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</si>
  <si>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</si>
  <si>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</si>
  <si>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</si>
  <si>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</si>
  <si>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</si>
  <si>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</si>
  <si>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</si>
  <si>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</si>
  <si>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</si>
  <si>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</si>
  <si>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</si>
  <si>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</si>
  <si>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</si>
  <si>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</si>
  <si>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</si>
  <si>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</si>
  <si>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</si>
  <si>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</si>
  <si>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</si>
  <si>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</si>
  <si>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</si>
  <si>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</si>
  <si>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</si>
  <si>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</si>
  <si>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</si>
  <si>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</si>
  <si>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</si>
  <si>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</si>
  <si>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 xml:space="preserve"> COUNTRY  CODE</t>
  </si>
  <si>
    <t>MONTH</t>
  </si>
  <si>
    <t>COUNT:</t>
  </si>
  <si>
    <t>• Total price of all products in the dataset :9100</t>
  </si>
  <si>
    <t>•Products are there in the dataset :</t>
  </si>
  <si>
    <t>• Average price of the products.</t>
  </si>
  <si>
    <t>• Minimum price among all products :</t>
  </si>
  <si>
    <t>• Maximum price among all products:</t>
  </si>
  <si>
    <t>• Total price for products in the 'Electronics' category using the SUMIF function:</t>
  </si>
  <si>
    <t>•Count of products with a price less than $100 using the COUNTIF function:</t>
  </si>
  <si>
    <t>• Created  a new column named Month by extracting 4th to 6th characters from the 'Product ID' column using the MID function:</t>
  </si>
  <si>
    <t>SUM</t>
  </si>
  <si>
    <t>AVERAGE</t>
  </si>
  <si>
    <t>MIN</t>
  </si>
  <si>
    <t>MAX</t>
  </si>
  <si>
    <t>SUMIF</t>
  </si>
  <si>
    <t>COUNTIF</t>
  </si>
  <si>
    <t>the dataset :</t>
  </si>
  <si>
    <t>H2:H33</t>
  </si>
  <si>
    <t>B2:B33</t>
  </si>
  <si>
    <t>• Using an IF function, create a new column named Price Range to categorize products with a price greater than or equal to $500 as 'High Price' and others as 'Standard Price':</t>
  </si>
  <si>
    <t>• Created a new column named Day with the first 2 characters of each 'Product ID' using the LEFT function:</t>
  </si>
  <si>
    <t>• Created a new column named Country Code by extracting the last 2 characters from the 'Product ID' column using the RIGHT function:</t>
  </si>
  <si>
    <t>C2:C33</t>
  </si>
  <si>
    <t>D2:D33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</si>
</sst>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Arial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/>
    <xf numFmtId="0" fontId="7" fillId="0" borderId="0" xfId="0" applyFont="1" applyAlignment="1"/>
    <xf numFmtId="0" fontId="7" fillId="3" borderId="0" xfId="0" applyFont="1" applyFill="1" applyAlignment="1"/>
    <xf numFmtId="0" fontId="8" fillId="2" borderId="0" xfId="0" applyFont="1" applyFill="1" applyAlignment="1">
      <alignment horizontal="center"/>
    </xf>
    <xf numFmtId="0" fontId="7" fillId="0" borderId="0" xfId="0" applyFont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7" fillId="0" borderId="0" xfId="0" applyFont="1" applyAlignment="1">
      <alignment horizontal="left" indent="2"/>
    </xf>
    <xf numFmtId="0" fontId="7" fillId="3" borderId="0" xfId="0" applyFont="1" applyFill="1" applyAlignment="1">
      <alignment horizontal="left" indent="2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Q13" sqref="Q1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workbookViewId="0">
      <selection activeCell="G41" sqref="G41"/>
    </sheetView>
  </sheetViews>
  <sheetFormatPr defaultColWidth="12.6640625" defaultRowHeight="15" customHeight="1" x14ac:dyDescent="0.25"/>
  <cols>
    <col min="1" max="2" width="14.77734375" customWidth="1"/>
    <col min="3" max="3" width="23.77734375" customWidth="1"/>
    <col min="4" max="4" width="22.77734375" customWidth="1"/>
    <col min="5" max="5" width="17.6640625" customWidth="1"/>
    <col min="6" max="6" width="17.21875" customWidth="1"/>
    <col min="7" max="7" width="12.6640625" customWidth="1"/>
    <col min="8" max="8" width="22.109375" customWidth="1"/>
    <col min="9" max="9" width="13.44140625" customWidth="1"/>
    <col min="10" max="10" width="14.44140625" customWidth="1"/>
  </cols>
  <sheetData>
    <row r="1" spans="1:11" ht="15.75" customHeight="1" x14ac:dyDescent="0.3">
      <c r="A1" s="10" t="s">
        <v>17</v>
      </c>
      <c r="B1" s="10" t="s">
        <v>111</v>
      </c>
      <c r="C1" s="10" t="s">
        <v>112</v>
      </c>
      <c r="D1" s="10" t="s">
        <v>113</v>
      </c>
      <c r="E1" s="10" t="s">
        <v>18</v>
      </c>
      <c r="F1" s="10" t="s">
        <v>19</v>
      </c>
      <c r="G1" s="10" t="s">
        <v>20</v>
      </c>
      <c r="H1" s="10" t="s">
        <v>110</v>
      </c>
      <c r="I1" s="10" t="s">
        <v>21</v>
      </c>
      <c r="J1" s="10" t="s">
        <v>22</v>
      </c>
      <c r="K1" s="5"/>
    </row>
    <row r="2" spans="1:11" ht="15.75" customHeight="1" x14ac:dyDescent="0.3">
      <c r="A2" s="11" t="s">
        <v>38</v>
      </c>
      <c r="B2" s="11" t="str">
        <f>LEFT(A2,2)</f>
        <v>22</v>
      </c>
      <c r="C2" s="11" t="str">
        <f>RIGHT(A2,2)</f>
        <v>US</v>
      </c>
      <c r="D2" s="11" t="str">
        <f>MID(A2,4,3)</f>
        <v>MAY</v>
      </c>
      <c r="E2" s="11" t="s">
        <v>39</v>
      </c>
      <c r="F2" s="11" t="s">
        <v>40</v>
      </c>
      <c r="G2" s="8">
        <v>70</v>
      </c>
      <c r="H2" s="13" t="str">
        <f>IF(G2 &gt;=500,"High Price","Standard Price")</f>
        <v>Standard Price</v>
      </c>
      <c r="I2" s="8">
        <v>20</v>
      </c>
      <c r="J2" s="13" t="s">
        <v>41</v>
      </c>
      <c r="K2" s="6"/>
    </row>
    <row r="3" spans="1:11" ht="15.75" customHeight="1" x14ac:dyDescent="0.3">
      <c r="A3" s="12" t="s">
        <v>48</v>
      </c>
      <c r="B3" s="11" t="str">
        <f t="shared" ref="B3:B33" si="0">LEFT(A3,2)</f>
        <v>23</v>
      </c>
      <c r="C3" s="11" t="str">
        <f t="shared" ref="C3:C33" si="1">RIGHT(A3,2)</f>
        <v>UK</v>
      </c>
      <c r="D3" s="11" t="str">
        <f t="shared" ref="D3:D33" si="2">MID(A3,4,3)</f>
        <v>AUG</v>
      </c>
      <c r="E3" s="12" t="s">
        <v>49</v>
      </c>
      <c r="F3" s="12" t="s">
        <v>50</v>
      </c>
      <c r="G3" s="9">
        <v>90</v>
      </c>
      <c r="H3" s="13" t="str">
        <f>IF(G3 &gt;=500,"High Price","Standard Price")</f>
        <v>Standard Price</v>
      </c>
      <c r="I3" s="9">
        <v>35</v>
      </c>
      <c r="J3" s="14" t="s">
        <v>34</v>
      </c>
      <c r="K3" s="6"/>
    </row>
    <row r="4" spans="1:11" ht="15.75" customHeight="1" x14ac:dyDescent="0.3">
      <c r="A4" s="11" t="s">
        <v>94</v>
      </c>
      <c r="B4" s="11" t="str">
        <f t="shared" si="0"/>
        <v>11</v>
      </c>
      <c r="C4" s="11" t="str">
        <f t="shared" si="1"/>
        <v>CA</v>
      </c>
      <c r="D4" s="11" t="str">
        <f t="shared" si="2"/>
        <v>JUL</v>
      </c>
      <c r="E4" s="11" t="s">
        <v>49</v>
      </c>
      <c r="F4" s="11" t="s">
        <v>95</v>
      </c>
      <c r="G4" s="8">
        <v>400</v>
      </c>
      <c r="H4" s="13" t="str">
        <f>IF(G4 &gt;=500,"High Price","Standard Price")</f>
        <v>Standard Price</v>
      </c>
      <c r="I4" s="8">
        <v>40</v>
      </c>
      <c r="J4" s="13" t="s">
        <v>34</v>
      </c>
      <c r="K4" s="6"/>
    </row>
    <row r="5" spans="1:11" ht="15.75" customHeight="1" x14ac:dyDescent="0.3">
      <c r="A5" s="11" t="s">
        <v>81</v>
      </c>
      <c r="B5" s="11" t="str">
        <f t="shared" si="0"/>
        <v>14</v>
      </c>
      <c r="C5" s="11" t="str">
        <f t="shared" si="1"/>
        <v>RU</v>
      </c>
      <c r="D5" s="11" t="str">
        <f t="shared" si="2"/>
        <v>MAY</v>
      </c>
      <c r="E5" s="11" t="s">
        <v>82</v>
      </c>
      <c r="F5" s="11" t="s">
        <v>83</v>
      </c>
      <c r="G5" s="8">
        <v>700</v>
      </c>
      <c r="H5" s="13" t="str">
        <f t="shared" ref="H5:H33" si="3">IF(G5 &gt;=500,"High Price","Standard Price")</f>
        <v>High Price</v>
      </c>
      <c r="I5" s="8">
        <v>50</v>
      </c>
      <c r="J5" s="13" t="s">
        <v>26</v>
      </c>
      <c r="K5" s="6"/>
    </row>
    <row r="6" spans="1:11" ht="15.75" customHeight="1" x14ac:dyDescent="0.3">
      <c r="A6" s="12" t="s">
        <v>78</v>
      </c>
      <c r="B6" s="11" t="str">
        <f t="shared" si="0"/>
        <v>14</v>
      </c>
      <c r="C6" s="11" t="str">
        <f t="shared" si="1"/>
        <v>US</v>
      </c>
      <c r="D6" s="11" t="str">
        <f t="shared" si="2"/>
        <v>AUG</v>
      </c>
      <c r="E6" s="12" t="s">
        <v>79</v>
      </c>
      <c r="F6" s="12" t="s">
        <v>80</v>
      </c>
      <c r="G6" s="9">
        <v>200</v>
      </c>
      <c r="H6" s="13" t="str">
        <f t="shared" si="3"/>
        <v>Standard Price</v>
      </c>
      <c r="I6" s="9">
        <v>10</v>
      </c>
      <c r="J6" s="14" t="s">
        <v>41</v>
      </c>
      <c r="K6" s="6"/>
    </row>
    <row r="7" spans="1:11" ht="15.75" customHeight="1" x14ac:dyDescent="0.3">
      <c r="A7" s="11" t="s">
        <v>31</v>
      </c>
      <c r="B7" s="11" t="str">
        <f t="shared" si="0"/>
        <v>03</v>
      </c>
      <c r="C7" s="11" t="str">
        <f t="shared" si="1"/>
        <v>US</v>
      </c>
      <c r="D7" s="11" t="str">
        <f t="shared" si="2"/>
        <v>MAR</v>
      </c>
      <c r="E7" s="11" t="s">
        <v>32</v>
      </c>
      <c r="F7" s="11" t="s">
        <v>33</v>
      </c>
      <c r="G7" s="8">
        <v>130</v>
      </c>
      <c r="H7" s="13" t="str">
        <f t="shared" si="3"/>
        <v>Standard Price</v>
      </c>
      <c r="I7" s="8">
        <v>40</v>
      </c>
      <c r="J7" s="13" t="s">
        <v>34</v>
      </c>
      <c r="K7" s="6"/>
    </row>
    <row r="8" spans="1:11" ht="15.75" customHeight="1" x14ac:dyDescent="0.3">
      <c r="A8" s="11" t="s">
        <v>60</v>
      </c>
      <c r="B8" s="11" t="str">
        <f t="shared" si="0"/>
        <v>08</v>
      </c>
      <c r="C8" s="11" t="str">
        <f t="shared" si="1"/>
        <v>DE</v>
      </c>
      <c r="D8" s="11" t="str">
        <f t="shared" si="2"/>
        <v>DEC</v>
      </c>
      <c r="E8" s="11" t="s">
        <v>32</v>
      </c>
      <c r="F8" s="11" t="s">
        <v>61</v>
      </c>
      <c r="G8" s="8">
        <v>120</v>
      </c>
      <c r="H8" s="13" t="str">
        <f t="shared" si="3"/>
        <v>Standard Price</v>
      </c>
      <c r="I8" s="8">
        <v>35</v>
      </c>
      <c r="J8" s="13" t="s">
        <v>34</v>
      </c>
      <c r="K8" s="6"/>
    </row>
    <row r="9" spans="1:11" ht="15.75" customHeight="1" x14ac:dyDescent="0.3">
      <c r="A9" s="11" t="s">
        <v>96</v>
      </c>
      <c r="B9" s="11" t="str">
        <f t="shared" si="0"/>
        <v>07</v>
      </c>
      <c r="C9" s="11" t="str">
        <f t="shared" si="1"/>
        <v>CA</v>
      </c>
      <c r="D9" s="11" t="str">
        <f t="shared" si="2"/>
        <v>MAR</v>
      </c>
      <c r="E9" s="11" t="s">
        <v>97</v>
      </c>
      <c r="F9" s="11" t="s">
        <v>98</v>
      </c>
      <c r="G9" s="8">
        <v>60</v>
      </c>
      <c r="H9" s="13" t="str">
        <f t="shared" si="3"/>
        <v>Standard Price</v>
      </c>
      <c r="I9" s="8">
        <v>30</v>
      </c>
      <c r="J9" s="13" t="s">
        <v>30</v>
      </c>
      <c r="K9" s="6"/>
    </row>
    <row r="10" spans="1:11" ht="15.75" customHeight="1" x14ac:dyDescent="0.3">
      <c r="A10" s="11" t="s">
        <v>87</v>
      </c>
      <c r="B10" s="11" t="str">
        <f t="shared" si="0"/>
        <v>19</v>
      </c>
      <c r="C10" s="11" t="str">
        <f t="shared" si="1"/>
        <v>BR</v>
      </c>
      <c r="D10" s="11" t="str">
        <f t="shared" si="2"/>
        <v>JUL</v>
      </c>
      <c r="E10" s="11" t="s">
        <v>88</v>
      </c>
      <c r="F10" s="11" t="s">
        <v>89</v>
      </c>
      <c r="G10" s="8">
        <v>150</v>
      </c>
      <c r="H10" s="13" t="str">
        <f t="shared" si="3"/>
        <v>Standard Price</v>
      </c>
      <c r="I10" s="8">
        <v>30</v>
      </c>
      <c r="J10" s="13" t="s">
        <v>26</v>
      </c>
      <c r="K10" s="6"/>
    </row>
    <row r="11" spans="1:11" ht="15.75" customHeight="1" x14ac:dyDescent="0.3">
      <c r="A11" s="11" t="s">
        <v>102</v>
      </c>
      <c r="B11" s="11" t="str">
        <f t="shared" si="0"/>
        <v>24</v>
      </c>
      <c r="C11" s="11" t="str">
        <f t="shared" si="1"/>
        <v>CA</v>
      </c>
      <c r="D11" s="11" t="str">
        <f t="shared" si="2"/>
        <v>MAY</v>
      </c>
      <c r="E11" s="11" t="s">
        <v>88</v>
      </c>
      <c r="F11" s="11" t="s">
        <v>103</v>
      </c>
      <c r="G11" s="8">
        <v>130</v>
      </c>
      <c r="H11" s="13" t="str">
        <f t="shared" si="3"/>
        <v>Standard Price</v>
      </c>
      <c r="I11" s="8">
        <v>5</v>
      </c>
      <c r="J11" s="13" t="s">
        <v>26</v>
      </c>
      <c r="K11" s="6"/>
    </row>
    <row r="12" spans="1:11" ht="15.75" customHeight="1" x14ac:dyDescent="0.3">
      <c r="A12" s="12" t="s">
        <v>42</v>
      </c>
      <c r="B12" s="11" t="str">
        <f t="shared" si="0"/>
        <v>07</v>
      </c>
      <c r="C12" s="11" t="str">
        <f t="shared" si="1"/>
        <v>UK</v>
      </c>
      <c r="D12" s="11" t="str">
        <f t="shared" si="2"/>
        <v>JUN</v>
      </c>
      <c r="E12" s="12" t="s">
        <v>43</v>
      </c>
      <c r="F12" s="12" t="s">
        <v>44</v>
      </c>
      <c r="G12" s="9">
        <v>200</v>
      </c>
      <c r="H12" s="13" t="str">
        <f t="shared" si="3"/>
        <v>Standard Price</v>
      </c>
      <c r="I12" s="9">
        <v>45</v>
      </c>
      <c r="J12" s="14" t="s">
        <v>26</v>
      </c>
      <c r="K12" s="6"/>
    </row>
    <row r="13" spans="1:11" ht="15.75" customHeight="1" x14ac:dyDescent="0.3">
      <c r="A13" s="11" t="s">
        <v>65</v>
      </c>
      <c r="B13" s="11" t="str">
        <f t="shared" si="0"/>
        <v>16</v>
      </c>
      <c r="C13" s="11" t="str">
        <f t="shared" si="1"/>
        <v>ES</v>
      </c>
      <c r="D13" s="11" t="str">
        <f t="shared" si="2"/>
        <v>APR</v>
      </c>
      <c r="E13" s="11" t="s">
        <v>43</v>
      </c>
      <c r="F13" s="11" t="s">
        <v>66</v>
      </c>
      <c r="G13" s="8">
        <v>250</v>
      </c>
      <c r="H13" s="13" t="str">
        <f t="shared" si="3"/>
        <v>Standard Price</v>
      </c>
      <c r="I13" s="8">
        <v>20</v>
      </c>
      <c r="J13" s="13" t="s">
        <v>26</v>
      </c>
      <c r="K13" s="6"/>
    </row>
    <row r="14" spans="1:11" ht="15.75" customHeight="1" x14ac:dyDescent="0.3">
      <c r="A14" s="12" t="s">
        <v>65</v>
      </c>
      <c r="B14" s="11" t="str">
        <f t="shared" si="0"/>
        <v>16</v>
      </c>
      <c r="C14" s="11" t="str">
        <f t="shared" si="1"/>
        <v>ES</v>
      </c>
      <c r="D14" s="11" t="str">
        <f t="shared" si="2"/>
        <v>APR</v>
      </c>
      <c r="E14" s="12" t="s">
        <v>43</v>
      </c>
      <c r="F14" s="12" t="s">
        <v>66</v>
      </c>
      <c r="G14" s="9">
        <v>230</v>
      </c>
      <c r="H14" s="13" t="str">
        <f t="shared" si="3"/>
        <v>Standard Price</v>
      </c>
      <c r="I14" s="9">
        <v>20</v>
      </c>
      <c r="J14" s="14" t="s">
        <v>26</v>
      </c>
      <c r="K14" s="6"/>
    </row>
    <row r="15" spans="1:11" ht="15.75" customHeight="1" x14ac:dyDescent="0.3">
      <c r="A15" s="12" t="s">
        <v>54</v>
      </c>
      <c r="B15" s="11" t="str">
        <f t="shared" si="0"/>
        <v>14</v>
      </c>
      <c r="C15" s="11" t="str">
        <f t="shared" si="1"/>
        <v>UK</v>
      </c>
      <c r="D15" s="11" t="str">
        <f t="shared" si="2"/>
        <v>OCT</v>
      </c>
      <c r="E15" s="12" t="s">
        <v>55</v>
      </c>
      <c r="F15" s="12" t="s">
        <v>56</v>
      </c>
      <c r="G15" s="9">
        <v>130</v>
      </c>
      <c r="H15" s="13" t="str">
        <f t="shared" si="3"/>
        <v>Standard Price</v>
      </c>
      <c r="I15" s="9">
        <v>10</v>
      </c>
      <c r="J15" s="14" t="s">
        <v>41</v>
      </c>
      <c r="K15" s="6"/>
    </row>
    <row r="16" spans="1:11" ht="15.75" customHeight="1" x14ac:dyDescent="0.3">
      <c r="A16" s="12" t="s">
        <v>104</v>
      </c>
      <c r="B16" s="11" t="str">
        <f t="shared" si="0"/>
        <v>02</v>
      </c>
      <c r="C16" s="11" t="str">
        <f t="shared" si="1"/>
        <v>CA</v>
      </c>
      <c r="D16" s="11" t="str">
        <f t="shared" si="2"/>
        <v>DEC</v>
      </c>
      <c r="E16" s="12" t="s">
        <v>105</v>
      </c>
      <c r="F16" s="12" t="s">
        <v>106</v>
      </c>
      <c r="G16" s="9">
        <v>50</v>
      </c>
      <c r="H16" s="13" t="str">
        <f t="shared" si="3"/>
        <v>Standard Price</v>
      </c>
      <c r="I16" s="9">
        <v>50</v>
      </c>
      <c r="J16" s="14" t="s">
        <v>30</v>
      </c>
      <c r="K16" s="6"/>
    </row>
    <row r="17" spans="1:11" ht="15.75" customHeight="1" x14ac:dyDescent="0.3">
      <c r="A17" s="11" t="s">
        <v>23</v>
      </c>
      <c r="B17" s="11" t="str">
        <f t="shared" si="0"/>
        <v>28</v>
      </c>
      <c r="C17" s="11" t="str">
        <f t="shared" si="1"/>
        <v>US</v>
      </c>
      <c r="D17" s="11" t="str">
        <f t="shared" si="2"/>
        <v>JAN</v>
      </c>
      <c r="E17" s="11" t="s">
        <v>24</v>
      </c>
      <c r="F17" s="11" t="s">
        <v>25</v>
      </c>
      <c r="G17" s="8">
        <v>1000</v>
      </c>
      <c r="H17" s="13" t="str">
        <f t="shared" si="3"/>
        <v>High Price</v>
      </c>
      <c r="I17" s="8">
        <v>30</v>
      </c>
      <c r="J17" s="13" t="s">
        <v>26</v>
      </c>
      <c r="K17" s="6"/>
    </row>
    <row r="18" spans="1:11" ht="15.75" customHeight="1" x14ac:dyDescent="0.3">
      <c r="A18" s="11" t="s">
        <v>57</v>
      </c>
      <c r="B18" s="11" t="str">
        <f t="shared" si="0"/>
        <v>17</v>
      </c>
      <c r="C18" s="11" t="str">
        <f t="shared" si="1"/>
        <v>IN</v>
      </c>
      <c r="D18" s="11" t="str">
        <f t="shared" si="2"/>
        <v>JUN</v>
      </c>
      <c r="E18" s="11" t="s">
        <v>24</v>
      </c>
      <c r="F18" s="11" t="s">
        <v>58</v>
      </c>
      <c r="G18" s="8">
        <v>950</v>
      </c>
      <c r="H18" s="13" t="str">
        <f t="shared" si="3"/>
        <v>High Price</v>
      </c>
      <c r="I18" s="8">
        <v>25</v>
      </c>
      <c r="J18" s="13" t="s">
        <v>26</v>
      </c>
      <c r="K18" s="6"/>
    </row>
    <row r="19" spans="1:11" ht="15.75" customHeight="1" x14ac:dyDescent="0.3">
      <c r="A19" s="12" t="s">
        <v>73</v>
      </c>
      <c r="B19" s="11" t="str">
        <f t="shared" si="0"/>
        <v>27</v>
      </c>
      <c r="C19" s="11" t="str">
        <f t="shared" si="1"/>
        <v>IT</v>
      </c>
      <c r="D19" s="11" t="str">
        <f t="shared" si="2"/>
        <v>JAN</v>
      </c>
      <c r="E19" s="12" t="s">
        <v>24</v>
      </c>
      <c r="F19" s="12" t="s">
        <v>74</v>
      </c>
      <c r="G19" s="9">
        <v>980</v>
      </c>
      <c r="H19" s="13" t="str">
        <f t="shared" si="3"/>
        <v>High Price</v>
      </c>
      <c r="I19" s="9">
        <v>10</v>
      </c>
      <c r="J19" s="14" t="s">
        <v>26</v>
      </c>
      <c r="K19" s="6"/>
    </row>
    <row r="20" spans="1:11" ht="15.75" customHeight="1" x14ac:dyDescent="0.3">
      <c r="A20" s="12" t="s">
        <v>67</v>
      </c>
      <c r="B20" s="11" t="str">
        <f t="shared" si="0"/>
        <v>21</v>
      </c>
      <c r="C20" s="11" t="str">
        <f t="shared" si="1"/>
        <v>CA</v>
      </c>
      <c r="D20" s="11" t="str">
        <f t="shared" si="2"/>
        <v>AUG</v>
      </c>
      <c r="E20" s="12" t="s">
        <v>68</v>
      </c>
      <c r="F20" s="12" t="s">
        <v>69</v>
      </c>
      <c r="G20" s="9">
        <v>50</v>
      </c>
      <c r="H20" s="13" t="str">
        <f t="shared" si="3"/>
        <v>Standard Price</v>
      </c>
      <c r="I20" s="9">
        <v>35</v>
      </c>
      <c r="J20" s="14" t="s">
        <v>70</v>
      </c>
      <c r="K20" s="6"/>
    </row>
    <row r="21" spans="1:11" ht="15.75" customHeight="1" x14ac:dyDescent="0.3">
      <c r="A21" s="12" t="s">
        <v>84</v>
      </c>
      <c r="B21" s="11" t="str">
        <f t="shared" si="0"/>
        <v>09</v>
      </c>
      <c r="C21" s="11" t="str">
        <f t="shared" si="1"/>
        <v>CA</v>
      </c>
      <c r="D21" s="11" t="str">
        <f t="shared" si="2"/>
        <v>JAN</v>
      </c>
      <c r="E21" s="12" t="s">
        <v>85</v>
      </c>
      <c r="F21" s="12" t="s">
        <v>86</v>
      </c>
      <c r="G21" s="9">
        <v>80</v>
      </c>
      <c r="H21" s="13" t="str">
        <f t="shared" si="3"/>
        <v>Standard Price</v>
      </c>
      <c r="I21" s="9">
        <v>20</v>
      </c>
      <c r="J21" s="14" t="s">
        <v>34</v>
      </c>
      <c r="K21" s="6"/>
    </row>
    <row r="22" spans="1:11" ht="15.75" customHeight="1" x14ac:dyDescent="0.3">
      <c r="A22" s="12" t="s">
        <v>35</v>
      </c>
      <c r="B22" s="11" t="str">
        <f t="shared" si="0"/>
        <v>11</v>
      </c>
      <c r="C22" s="11" t="str">
        <f t="shared" si="1"/>
        <v>US</v>
      </c>
      <c r="D22" s="11" t="str">
        <f t="shared" si="2"/>
        <v>APR</v>
      </c>
      <c r="E22" s="12" t="s">
        <v>36</v>
      </c>
      <c r="F22" s="12" t="s">
        <v>37</v>
      </c>
      <c r="G22" s="9">
        <v>900</v>
      </c>
      <c r="H22" s="13" t="str">
        <f t="shared" si="3"/>
        <v>High Price</v>
      </c>
      <c r="I22" s="9">
        <v>25</v>
      </c>
      <c r="J22" s="14" t="s">
        <v>26</v>
      </c>
      <c r="K22" s="6"/>
    </row>
    <row r="23" spans="1:11" ht="15.75" customHeight="1" x14ac:dyDescent="0.3">
      <c r="A23" s="11" t="s">
        <v>90</v>
      </c>
      <c r="B23" s="11" t="str">
        <f t="shared" si="0"/>
        <v>29</v>
      </c>
      <c r="C23" s="11" t="str">
        <f t="shared" si="1"/>
        <v>CA</v>
      </c>
      <c r="D23" s="11" t="str">
        <f t="shared" si="2"/>
        <v>SEP</v>
      </c>
      <c r="E23" s="11" t="s">
        <v>36</v>
      </c>
      <c r="F23" s="11" t="s">
        <v>91</v>
      </c>
      <c r="G23" s="8">
        <v>800</v>
      </c>
      <c r="H23" s="13" t="str">
        <f t="shared" si="3"/>
        <v>High Price</v>
      </c>
      <c r="I23" s="8">
        <v>45</v>
      </c>
      <c r="J23" s="13" t="s">
        <v>26</v>
      </c>
      <c r="K23" s="6"/>
    </row>
    <row r="24" spans="1:11" ht="15.75" customHeight="1" x14ac:dyDescent="0.3">
      <c r="A24" s="12" t="s">
        <v>62</v>
      </c>
      <c r="B24" s="11" t="str">
        <f t="shared" si="0"/>
        <v>18</v>
      </c>
      <c r="C24" s="11" t="str">
        <f t="shared" si="1"/>
        <v>CA</v>
      </c>
      <c r="D24" s="11" t="str">
        <f t="shared" si="2"/>
        <v>FEB</v>
      </c>
      <c r="E24" s="12" t="s">
        <v>63</v>
      </c>
      <c r="F24" s="12" t="s">
        <v>64</v>
      </c>
      <c r="G24" s="9">
        <v>150</v>
      </c>
      <c r="H24" s="13" t="str">
        <f t="shared" si="3"/>
        <v>Standard Price</v>
      </c>
      <c r="I24" s="9">
        <v>15</v>
      </c>
      <c r="J24" s="14" t="s">
        <v>26</v>
      </c>
      <c r="K24" s="6"/>
    </row>
    <row r="25" spans="1:11" ht="15.75" customHeight="1" x14ac:dyDescent="0.3">
      <c r="A25" s="11" t="s">
        <v>71</v>
      </c>
      <c r="B25" s="11" t="str">
        <f t="shared" si="0"/>
        <v>20</v>
      </c>
      <c r="C25" s="11" t="str">
        <f t="shared" si="1"/>
        <v>CN</v>
      </c>
      <c r="D25" s="11" t="str">
        <f t="shared" si="2"/>
        <v>AUG</v>
      </c>
      <c r="E25" s="11" t="s">
        <v>63</v>
      </c>
      <c r="F25" s="11" t="s">
        <v>72</v>
      </c>
      <c r="G25" s="8">
        <v>160</v>
      </c>
      <c r="H25" s="13" t="str">
        <f t="shared" si="3"/>
        <v>Standard Price</v>
      </c>
      <c r="I25" s="8">
        <v>15</v>
      </c>
      <c r="J25" s="13" t="s">
        <v>26</v>
      </c>
      <c r="K25" s="7"/>
    </row>
    <row r="26" spans="1:11" ht="15.75" customHeight="1" x14ac:dyDescent="0.3">
      <c r="A26" s="12" t="s">
        <v>27</v>
      </c>
      <c r="B26" s="11" t="str">
        <f t="shared" si="0"/>
        <v>15</v>
      </c>
      <c r="C26" s="11" t="str">
        <f t="shared" si="1"/>
        <v>US</v>
      </c>
      <c r="D26" s="11" t="str">
        <f t="shared" si="2"/>
        <v>FEB</v>
      </c>
      <c r="E26" s="12" t="s">
        <v>28</v>
      </c>
      <c r="F26" s="12" t="s">
        <v>29</v>
      </c>
      <c r="G26" s="9">
        <v>80</v>
      </c>
      <c r="H26" s="13" t="str">
        <f t="shared" si="3"/>
        <v>Standard Price</v>
      </c>
      <c r="I26" s="9">
        <v>15</v>
      </c>
      <c r="J26" s="14" t="s">
        <v>30</v>
      </c>
      <c r="K26" s="6"/>
    </row>
    <row r="27" spans="1:11" ht="15.75" customHeight="1" x14ac:dyDescent="0.3">
      <c r="A27" s="12" t="s">
        <v>59</v>
      </c>
      <c r="B27" s="11" t="str">
        <f t="shared" si="0"/>
        <v>25</v>
      </c>
      <c r="C27" s="11" t="str">
        <f t="shared" si="1"/>
        <v>AU</v>
      </c>
      <c r="D27" s="11" t="str">
        <f t="shared" si="2"/>
        <v>NOV</v>
      </c>
      <c r="E27" s="12" t="s">
        <v>28</v>
      </c>
      <c r="F27" s="12" t="s">
        <v>47</v>
      </c>
      <c r="G27" s="9">
        <v>90</v>
      </c>
      <c r="H27" s="13" t="str">
        <f t="shared" si="3"/>
        <v>Standard Price</v>
      </c>
      <c r="I27" s="9">
        <v>40</v>
      </c>
      <c r="J27" s="14" t="s">
        <v>30</v>
      </c>
      <c r="K27" s="6"/>
    </row>
    <row r="28" spans="1:11" ht="15.75" customHeight="1" x14ac:dyDescent="0.3">
      <c r="A28" s="11" t="s">
        <v>75</v>
      </c>
      <c r="B28" s="11" t="str">
        <f t="shared" si="0"/>
        <v>01</v>
      </c>
      <c r="C28" s="11" t="str">
        <f t="shared" si="1"/>
        <v>UK</v>
      </c>
      <c r="D28" s="11" t="str">
        <f t="shared" si="2"/>
        <v>MAR</v>
      </c>
      <c r="E28" s="11" t="s">
        <v>76</v>
      </c>
      <c r="F28" s="11" t="s">
        <v>77</v>
      </c>
      <c r="G28" s="8">
        <v>150</v>
      </c>
      <c r="H28" s="13" t="str">
        <f t="shared" si="3"/>
        <v>Standard Price</v>
      </c>
      <c r="I28" s="8">
        <v>15</v>
      </c>
      <c r="J28" s="13" t="s">
        <v>30</v>
      </c>
      <c r="K28" s="6"/>
    </row>
    <row r="29" spans="1:11" ht="15.75" customHeight="1" x14ac:dyDescent="0.3">
      <c r="A29" s="12" t="s">
        <v>92</v>
      </c>
      <c r="B29" s="11" t="str">
        <f t="shared" si="0"/>
        <v>03</v>
      </c>
      <c r="C29" s="11" t="str">
        <f t="shared" si="1"/>
        <v>CA</v>
      </c>
      <c r="D29" s="11" t="str">
        <f t="shared" si="2"/>
        <v>JUN</v>
      </c>
      <c r="E29" s="12" t="s">
        <v>76</v>
      </c>
      <c r="F29" s="12" t="s">
        <v>93</v>
      </c>
      <c r="G29" s="9">
        <v>130</v>
      </c>
      <c r="H29" s="13" t="str">
        <f t="shared" si="3"/>
        <v>Standard Price</v>
      </c>
      <c r="I29" s="9">
        <v>25</v>
      </c>
      <c r="J29" s="14" t="s">
        <v>30</v>
      </c>
      <c r="K29" s="7"/>
    </row>
    <row r="30" spans="1:11" ht="15.75" customHeight="1" x14ac:dyDescent="0.3">
      <c r="A30" s="11" t="s">
        <v>51</v>
      </c>
      <c r="B30" s="11" t="str">
        <f t="shared" si="0"/>
        <v>05</v>
      </c>
      <c r="C30" s="11" t="str">
        <f t="shared" si="1"/>
        <v>UK</v>
      </c>
      <c r="D30" s="11" t="str">
        <f t="shared" si="2"/>
        <v>SEP</v>
      </c>
      <c r="E30" s="11" t="s">
        <v>52</v>
      </c>
      <c r="F30" s="11" t="s">
        <v>53</v>
      </c>
      <c r="G30" s="8">
        <v>500</v>
      </c>
      <c r="H30" s="13" t="str">
        <f t="shared" si="3"/>
        <v>High Price</v>
      </c>
      <c r="I30" s="8">
        <v>50</v>
      </c>
      <c r="J30" s="13" t="s">
        <v>26</v>
      </c>
      <c r="K30" s="6"/>
    </row>
    <row r="31" spans="1:11" ht="15.75" customHeight="1" x14ac:dyDescent="0.3">
      <c r="A31" s="12" t="s">
        <v>99</v>
      </c>
      <c r="B31" s="11" t="str">
        <f t="shared" si="0"/>
        <v>13</v>
      </c>
      <c r="C31" s="11" t="str">
        <f t="shared" si="1"/>
        <v>CA</v>
      </c>
      <c r="D31" s="11" t="str">
        <f t="shared" si="2"/>
        <v>APR</v>
      </c>
      <c r="E31" s="12" t="s">
        <v>100</v>
      </c>
      <c r="F31" s="12" t="s">
        <v>101</v>
      </c>
      <c r="G31" s="9">
        <v>40</v>
      </c>
      <c r="H31" s="13" t="str">
        <f t="shared" si="3"/>
        <v>Standard Price</v>
      </c>
      <c r="I31" s="9">
        <v>10</v>
      </c>
      <c r="J31" s="14" t="s">
        <v>34</v>
      </c>
      <c r="K31" s="6"/>
    </row>
    <row r="32" spans="1:11" ht="15.75" customHeight="1" x14ac:dyDescent="0.3">
      <c r="A32" s="11" t="s">
        <v>45</v>
      </c>
      <c r="B32" s="11" t="str">
        <f t="shared" si="0"/>
        <v>19</v>
      </c>
      <c r="C32" s="11" t="str">
        <f t="shared" si="1"/>
        <v>UK</v>
      </c>
      <c r="D32" s="11" t="str">
        <f t="shared" si="2"/>
        <v>JUL</v>
      </c>
      <c r="E32" s="11" t="s">
        <v>46</v>
      </c>
      <c r="F32" s="11" t="s">
        <v>47</v>
      </c>
      <c r="G32" s="8">
        <v>30</v>
      </c>
      <c r="H32" s="13" t="str">
        <f t="shared" si="3"/>
        <v>Standard Price</v>
      </c>
      <c r="I32" s="8">
        <v>5</v>
      </c>
      <c r="J32" s="13" t="s">
        <v>30</v>
      </c>
      <c r="K32" s="6"/>
    </row>
    <row r="33" spans="1:11" ht="15.75" customHeight="1" x14ac:dyDescent="0.3">
      <c r="A33" s="12" t="s">
        <v>107</v>
      </c>
      <c r="B33" s="11" t="str">
        <f t="shared" si="0"/>
        <v>09</v>
      </c>
      <c r="C33" s="11" t="str">
        <f t="shared" si="1"/>
        <v>FR</v>
      </c>
      <c r="D33" s="11" t="str">
        <f t="shared" si="2"/>
        <v>JUL</v>
      </c>
      <c r="E33" s="12" t="s">
        <v>108</v>
      </c>
      <c r="F33" s="12" t="s">
        <v>109</v>
      </c>
      <c r="G33" s="9">
        <v>100</v>
      </c>
      <c r="H33" s="13" t="str">
        <f t="shared" si="3"/>
        <v>Standard Price</v>
      </c>
      <c r="I33" s="9">
        <v>20</v>
      </c>
      <c r="J33" s="14" t="s">
        <v>70</v>
      </c>
      <c r="K33" s="6"/>
    </row>
    <row r="34" spans="1:11" ht="15.75" customHeight="1" x14ac:dyDescent="0.25">
      <c r="K34" s="6"/>
    </row>
    <row r="35" spans="1:11" ht="15.75" customHeight="1" x14ac:dyDescent="0.25">
      <c r="K35" s="6"/>
    </row>
    <row r="36" spans="1:11" ht="15.75" customHeight="1" x14ac:dyDescent="0.25">
      <c r="D36" s="15" t="s">
        <v>114</v>
      </c>
      <c r="E36">
        <f>COUNTA(E2:E35)</f>
        <v>32</v>
      </c>
      <c r="F36" s="15" t="s">
        <v>123</v>
      </c>
      <c r="G36">
        <f>SUM(G2:G35)</f>
        <v>9100</v>
      </c>
    </row>
    <row r="37" spans="1:11" ht="15.75" customHeight="1" x14ac:dyDescent="0.25">
      <c r="F37" s="15" t="s">
        <v>124</v>
      </c>
      <c r="G37">
        <f>AVERAGE(G2:G33)</f>
        <v>284.375</v>
      </c>
    </row>
    <row r="38" spans="1:11" ht="15.75" customHeight="1" x14ac:dyDescent="0.25">
      <c r="F38" s="15" t="s">
        <v>125</v>
      </c>
      <c r="G38">
        <f>MIN(G2:G33)</f>
        <v>30</v>
      </c>
    </row>
    <row r="39" spans="1:11" ht="15.75" customHeight="1" x14ac:dyDescent="0.25">
      <c r="F39" s="15" t="s">
        <v>126</v>
      </c>
      <c r="G39">
        <f>MAX(G2:G33)</f>
        <v>1000</v>
      </c>
    </row>
    <row r="40" spans="1:11" ht="15.75" customHeight="1" x14ac:dyDescent="0.25">
      <c r="F40" s="15" t="s">
        <v>127</v>
      </c>
      <c r="G40" s="15">
        <f>SUMIF(J2:J33,"Electronics",G2:G33)</f>
        <v>7100</v>
      </c>
    </row>
    <row r="41" spans="1:11" ht="15.75" customHeight="1" x14ac:dyDescent="0.25">
      <c r="F41" s="15" t="s">
        <v>128</v>
      </c>
      <c r="G41">
        <f>COUNTIF(G2:G33,"&lt;100")</f>
        <v>10</v>
      </c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J36">
    <sortCondition ref="E3:E3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42F2-1970-4283-A6D8-06EB4FB60519}">
  <dimension ref="A3:U24"/>
  <sheetViews>
    <sheetView showGridLines="0" workbookViewId="0">
      <selection activeCell="F13" sqref="F13"/>
    </sheetView>
  </sheetViews>
  <sheetFormatPr defaultRowHeight="13.2" x14ac:dyDescent="0.25"/>
  <cols>
    <col min="6" max="6" width="12.44140625" customWidth="1"/>
    <col min="7" max="7" width="10.6640625" customWidth="1"/>
    <col min="10" max="10" width="11.77734375" customWidth="1"/>
    <col min="12" max="14" width="8.88671875" customWidth="1"/>
    <col min="15" max="15" width="19.77734375" customWidth="1"/>
    <col min="18" max="18" width="17.109375" customWidth="1"/>
    <col min="19" max="19" width="19.88671875" customWidth="1"/>
  </cols>
  <sheetData>
    <row r="3" spans="1:21" ht="16.8" x14ac:dyDescent="0.3">
      <c r="A3" s="17"/>
      <c r="B3" s="18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9"/>
    </row>
    <row r="4" spans="1:21" ht="16.8" x14ac:dyDescent="0.3">
      <c r="A4" s="17"/>
      <c r="B4" s="18"/>
      <c r="C4" s="20" t="s">
        <v>115</v>
      </c>
      <c r="D4" s="17"/>
      <c r="E4" s="17"/>
      <c r="F4" s="17" t="s">
        <v>129</v>
      </c>
      <c r="G4" s="16">
        <v>9100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9"/>
    </row>
    <row r="5" spans="1:21" ht="16.8" x14ac:dyDescent="0.3">
      <c r="A5" s="17"/>
      <c r="B5" s="18"/>
      <c r="C5" s="20" t="s">
        <v>116</v>
      </c>
      <c r="D5" s="17"/>
      <c r="E5" s="17"/>
      <c r="F5" s="17"/>
      <c r="G5" s="16">
        <v>32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9"/>
    </row>
    <row r="6" spans="1:21" ht="16.8" x14ac:dyDescent="0.3">
      <c r="A6" s="17"/>
      <c r="B6" s="18"/>
      <c r="C6" s="20" t="s">
        <v>117</v>
      </c>
      <c r="D6" s="17"/>
      <c r="E6" s="17"/>
      <c r="F6" s="17"/>
      <c r="G6" s="16">
        <v>284.375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9"/>
    </row>
    <row r="7" spans="1:21" ht="16.8" x14ac:dyDescent="0.3">
      <c r="A7" s="17"/>
      <c r="B7" s="18"/>
      <c r="C7" s="17"/>
      <c r="D7" s="17"/>
      <c r="E7" s="17"/>
      <c r="F7" s="17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9"/>
    </row>
    <row r="8" spans="1:21" ht="16.8" x14ac:dyDescent="0.3">
      <c r="A8" s="17"/>
      <c r="B8" s="18" t="s">
        <v>5</v>
      </c>
      <c r="C8" s="17"/>
      <c r="D8" s="17"/>
      <c r="E8" s="17"/>
      <c r="F8" s="17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9"/>
    </row>
    <row r="9" spans="1:21" ht="16.8" x14ac:dyDescent="0.3">
      <c r="A9" s="17"/>
      <c r="B9" s="17"/>
      <c r="C9" s="20" t="s">
        <v>118</v>
      </c>
      <c r="D9" s="17"/>
      <c r="E9" s="17"/>
      <c r="F9" s="17"/>
      <c r="G9" s="16">
        <v>30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9"/>
    </row>
    <row r="10" spans="1:21" ht="16.8" x14ac:dyDescent="0.3">
      <c r="A10" s="17"/>
      <c r="B10" s="17"/>
      <c r="C10" s="20" t="s">
        <v>119</v>
      </c>
      <c r="D10" s="17"/>
      <c r="E10" s="17"/>
      <c r="F10" s="17"/>
      <c r="G10" s="16">
        <v>1000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9"/>
    </row>
    <row r="11" spans="1:21" ht="16.8" x14ac:dyDescent="0.3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9"/>
    </row>
    <row r="12" spans="1:21" ht="16.8" x14ac:dyDescent="0.3">
      <c r="A12" s="17"/>
      <c r="B12" s="18" t="s">
        <v>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9"/>
    </row>
    <row r="13" spans="1:21" ht="16.8" x14ac:dyDescent="0.3">
      <c r="A13" s="17"/>
      <c r="B13" s="17"/>
      <c r="C13" s="20" t="s">
        <v>132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6" t="s">
        <v>130</v>
      </c>
      <c r="U13" s="19"/>
    </row>
    <row r="14" spans="1:21" ht="16.8" x14ac:dyDescent="0.3">
      <c r="A14" s="17"/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9"/>
    </row>
    <row r="15" spans="1:21" ht="16.8" x14ac:dyDescent="0.3">
      <c r="A15" s="17"/>
      <c r="B15" s="18" t="s">
        <v>10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9"/>
    </row>
    <row r="16" spans="1:21" ht="16.8" x14ac:dyDescent="0.3">
      <c r="A16" s="17"/>
      <c r="B16" s="17"/>
      <c r="C16" s="20" t="s">
        <v>120</v>
      </c>
      <c r="D16" s="17"/>
      <c r="E16" s="17"/>
      <c r="F16" s="17"/>
      <c r="G16" s="17"/>
      <c r="H16" s="17"/>
      <c r="I16" s="17"/>
      <c r="J16" s="17"/>
      <c r="K16" s="16">
        <v>7100</v>
      </c>
      <c r="L16" s="17"/>
      <c r="M16" s="17"/>
      <c r="N16" s="17"/>
      <c r="O16" s="17"/>
      <c r="P16" s="17"/>
      <c r="Q16" s="17"/>
      <c r="R16" s="17"/>
      <c r="S16" s="17"/>
      <c r="T16" s="17"/>
      <c r="U16" s="19"/>
    </row>
    <row r="17" spans="1:21" ht="16.8" x14ac:dyDescent="0.3">
      <c r="A17" s="17"/>
      <c r="B17" s="17"/>
      <c r="C17" s="20" t="s">
        <v>121</v>
      </c>
      <c r="D17" s="17"/>
      <c r="E17" s="17"/>
      <c r="F17" s="17"/>
      <c r="G17" s="17"/>
      <c r="H17" s="17"/>
      <c r="I17" s="17"/>
      <c r="J17" s="17"/>
      <c r="K17" s="16">
        <v>10</v>
      </c>
      <c r="L17" s="17"/>
      <c r="M17" s="17"/>
      <c r="N17" s="17"/>
      <c r="O17" s="17"/>
      <c r="P17" s="17"/>
      <c r="Q17" s="17"/>
      <c r="R17" s="17"/>
      <c r="S17" s="17"/>
      <c r="T17" s="17"/>
      <c r="U17" s="19"/>
    </row>
    <row r="18" spans="1:21" ht="16.8" x14ac:dyDescent="0.3">
      <c r="A18" s="17"/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9"/>
    </row>
    <row r="19" spans="1:21" ht="16.8" x14ac:dyDescent="0.3">
      <c r="A19" s="17"/>
      <c r="B19" s="18" t="s">
        <v>13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9"/>
    </row>
    <row r="20" spans="1:21" ht="16.8" x14ac:dyDescent="0.3">
      <c r="A20" s="17"/>
      <c r="B20" s="17"/>
      <c r="C20" s="20" t="s">
        <v>133</v>
      </c>
      <c r="D20" s="17"/>
      <c r="E20" s="17"/>
      <c r="F20" s="17"/>
      <c r="G20" s="17"/>
      <c r="H20" s="17"/>
      <c r="I20" s="17"/>
      <c r="J20" s="17"/>
      <c r="K20" s="17"/>
      <c r="L20" s="17"/>
      <c r="M20" s="16" t="s">
        <v>131</v>
      </c>
      <c r="O20" s="17"/>
      <c r="P20" s="17"/>
      <c r="Q20" s="17"/>
      <c r="R20" s="17"/>
      <c r="S20" s="17"/>
      <c r="T20" s="17"/>
      <c r="U20" s="19"/>
    </row>
    <row r="21" spans="1:21" ht="16.8" x14ac:dyDescent="0.3">
      <c r="A21" s="17"/>
      <c r="B21" s="17"/>
      <c r="C21" s="20" t="s">
        <v>134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6" t="s">
        <v>135</v>
      </c>
      <c r="R21" s="17"/>
      <c r="S21" s="17"/>
      <c r="T21" s="17"/>
      <c r="U21" s="19"/>
    </row>
    <row r="22" spans="1:21" ht="16.8" x14ac:dyDescent="0.3">
      <c r="A22" s="17"/>
      <c r="B22" s="17"/>
      <c r="C22" s="20" t="s">
        <v>122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 t="s">
        <v>136</v>
      </c>
      <c r="Q22" s="17"/>
      <c r="R22" s="17"/>
      <c r="S22" s="17"/>
      <c r="T22" s="17"/>
      <c r="U22" s="19"/>
    </row>
    <row r="23" spans="1:21" ht="17.399999999999999" x14ac:dyDescent="0.35">
      <c r="A23" s="19"/>
      <c r="B23" s="21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21" ht="16.8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2025-07-10T04:18:49Z</dcterms:modified>
</cp:coreProperties>
</file>