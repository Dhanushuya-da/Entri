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FC22B2D-136A-40E7-A743-23FF90C8D19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V5" i="2" l="1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4" i="2"/>
  <c r="T34" i="2"/>
  <c r="T37" i="2"/>
  <c r="U37" i="2"/>
  <c r="T35" i="2"/>
  <c r="T36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4" i="2"/>
  <c r="I36" i="2"/>
  <c r="H36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" i="2"/>
</calcChain>
</file>

<file path=xl/sharedStrings.xml><?xml version="1.0" encoding="utf-8"?>
<sst xmlns="http://schemas.openxmlformats.org/spreadsheetml/2006/main" count="400" uniqueCount="130">
  <si>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</si>
  <si>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</si>
  <si>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</si>
  <si>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</si>
  <si>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</si>
  <si>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</si>
  <si>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</si>
  <si>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</si>
  <si>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</si>
  <si>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</si>
  <si>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</si>
  <si>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</si>
  <si>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</si>
  <si>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</si>
  <si>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</si>
  <si>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</si>
  <si>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</si>
  <si>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</si>
  <si>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</si>
  <si>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</si>
  <si>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</si>
  <si>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</si>
  <si>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</si>
  <si>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</si>
  <si>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</si>
  <si>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</si>
  <si>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</si>
  <si>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</si>
  <si>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</si>
  <si>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</si>
  <si>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</si>
  <si>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</si>
  <si>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</si>
  <si>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</si>
  <si>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</si>
  <si>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</si>
  <si>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</si>
  <si>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</si>
  <si>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</si>
  <si>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</si>
  <si>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</si>
  <si>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</si>
  <si>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</si>
  <si>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</si>
  <si>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</si>
  <si>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</si>
  <si>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</si>
  <si>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</si>
  <si>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</si>
  <si>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</si>
  <si>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</si>
  <si>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</si>
  <si>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</si>
  <si>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</si>
  <si>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</si>
  <si>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</si>
  <si>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</si>
  <si>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</si>
  <si>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</si>
  <si>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</si>
  <si>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</si>
  <si>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</si>
  <si>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</si>
  <si>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</si>
  <si>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</si>
  <si>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</si>
  <si>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</si>
  <si>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</si>
  <si>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</si>
  <si>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</si>
  <si>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</si>
  <si>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</si>
  <si>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</si>
  <si>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</si>
  <si>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</si>
  <si>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</si>
  <si>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</si>
  <si>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</si>
  <si>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</si>
  <si>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</si>
  <si>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</si>
  <si>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</si>
  <si>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</si>
  <si>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</si>
  <si>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</si>
  <si>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</si>
  <si>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</si>
  <si>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</si>
  <si>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</si>
  <si>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</si>
  <si>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</si>
  <si>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</si>
  <si>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</si>
  <si>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</si>
  <si>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</si>
  <si>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</si>
  <si>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</si>
  <si>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</si>
  <si>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</si>
  <si>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</si>
  <si>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</si>
  <si>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</si>
  <si>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</si>
  <si>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</si>
  <si>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</si>
  <si>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</si>
  <si>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</si>
  <si>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</si>
  <si>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</si>
  <si>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</si>
  <si>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</si>
  <si>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</si>
  <si>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</si>
  <si>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</si>
  <si>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</si>
  <si>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</si>
  <si>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QUESTION 1.A</t>
  </si>
  <si>
    <t>QUESTION 1.B</t>
  </si>
  <si>
    <t>QUESTION 2.A</t>
  </si>
  <si>
    <t>QUESTION 2.B</t>
  </si>
  <si>
    <t>QUESTION 3</t>
  </si>
  <si>
    <t>QUESTION  4</t>
  </si>
  <si>
    <t>Country Code</t>
  </si>
  <si>
    <t>Manufacturing Date</t>
  </si>
  <si>
    <t>QUESTION 5</t>
  </si>
  <si>
    <t>Price($)</t>
  </si>
  <si>
    <t>Date Format</t>
  </si>
  <si>
    <t>QUESTION 6</t>
  </si>
  <si>
    <t>Product-Brand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</si>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</sst>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indexed="64"/>
      </patternFill>
    </fill>
    <fill>
      <patternFill patternType="solid">
        <fgColor theme="2"/>
        <bgColor theme="9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E0F7FA"/>
      </patternFill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0" borderId="0" xfId="0" applyFont="1"/>
    <xf numFmtId="164" fontId="8" fillId="4" borderId="0" xfId="0" applyNumberFormat="1" applyFont="1" applyFill="1"/>
    <xf numFmtId="0" fontId="8" fillId="4" borderId="0" xfId="0" applyFont="1" applyFill="1"/>
    <xf numFmtId="164" fontId="8" fillId="0" borderId="0" xfId="0" applyNumberFormat="1" applyFont="1"/>
    <xf numFmtId="164" fontId="9" fillId="5" borderId="1" xfId="0" applyNumberFormat="1" applyFont="1" applyFill="1" applyBorder="1"/>
    <xf numFmtId="0" fontId="9" fillId="5" borderId="1" xfId="0" applyFont="1" applyFill="1" applyBorder="1"/>
    <xf numFmtId="0" fontId="9" fillId="6" borderId="1" xfId="0" applyFont="1" applyFill="1" applyBorder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4" fontId="0" fillId="0" borderId="0" xfId="0" applyNumberFormat="1"/>
    <xf numFmtId="14" fontId="8" fillId="4" borderId="0" xfId="0" applyNumberFormat="1" applyFont="1" applyFill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4" fontId="9" fillId="7" borderId="0" xfId="0" applyNumberFormat="1" applyFont="1" applyFill="1" applyAlignment="1">
      <alignment horizontal="center" vertical="center"/>
    </xf>
    <xf numFmtId="14" fontId="8" fillId="0" borderId="0" xfId="0" applyNumberFormat="1" applyFont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  <fill>
        <patternFill patternType="solid">
          <fgColor rgb="FFE0F7FA"/>
          <bgColor rgb="FFE0F7FA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4" formatCode="[$$-409]#,##0.0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9025B9-7C83-427C-AAFB-9D18646744F9}" name="Table1" displayName="Table1" ref="H2:K36" totalsRowShown="0" headerRowDxfId="22" dataDxfId="21">
  <autoFilter ref="H2:K36" xr:uid="{269025B9-7C83-427C-AAFB-9D18646744F9}"/>
  <tableColumns count="4">
    <tableColumn id="1" xr3:uid="{8971002D-62BE-4CEF-8FED-6CA576359F89}" name="QUESTION 1.A" dataDxfId="20">
      <calculatedColumnFormula>IF(ISBLANK(D2),AVERAGE(D$2:D$35),D2)</calculatedColumnFormula>
    </tableColumn>
    <tableColumn id="2" xr3:uid="{2F6307F9-FF63-49FB-AE28-562378292F53}" name="QUESTION 1.B" dataDxfId="19">
      <calculatedColumnFormula>IF(ISBLANK(F2),"UNKNOWN",F2)</calculatedColumnFormula>
    </tableColumn>
    <tableColumn id="3" xr3:uid="{FEFF6C4B-9F82-417A-83D5-3CC92B254679}" name="QUESTION 2.A" dataDxfId="18"/>
    <tableColumn id="4" xr3:uid="{77631F7D-4ED1-4E69-B4ED-18A8D0126AEC}" name="QUESTION 2.B" dataDxfId="17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D389B4-413C-4057-B3DB-7F03F227D15E}" name="Table2" displayName="Table2" ref="M3:R34" totalsRowShown="0" headerRowDxfId="16" dataDxfId="15">
  <autoFilter ref="M3:R34" xr:uid="{DED389B4-413C-4057-B3DB-7F03F227D15E}"/>
  <tableColumns count="6">
    <tableColumn id="1" xr3:uid="{AFB11B8D-2199-45D4-923E-2674BF98610C}" name="Product ID" dataDxfId="14"/>
    <tableColumn id="2" xr3:uid="{3427A011-B014-48B3-A1AB-6AD57FA42207}" name="Product Name" dataDxfId="13"/>
    <tableColumn id="3" xr3:uid="{56727420-F79A-484D-A26D-F099500F0241}" name="Brand Name" dataDxfId="12"/>
    <tableColumn id="4" xr3:uid="{4837B3EA-94E4-45D6-A3EF-881B9103C5D7}" name="Price ($)" dataDxfId="11"/>
    <tableColumn id="5" xr3:uid="{CA55B21E-C520-4E13-8A57-EF5257F855F3}" name="Quantity" dataDxfId="10"/>
    <tableColumn id="6" xr3:uid="{1D8016EA-6BDB-4D70-BA3F-D38B161793AE}" name="Category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500B5F-85E5-4D0B-9064-0F3FB4DD33EE}" name="Table3" displayName="Table3" ref="T3:V37" totalsRowShown="0" headerRowDxfId="8" dataDxfId="7">
  <autoFilter ref="T3:V37" xr:uid="{76500B5F-85E5-4D0B-9064-0F3FB4DD33EE}"/>
  <tableColumns count="3">
    <tableColumn id="1" xr3:uid="{C3F9EA01-2884-487F-90A4-E1892455552C}" name="Manufacturing Date" dataDxfId="6">
      <calculatedColumnFormula>LEFT((A2),6)</calculatedColumnFormula>
    </tableColumn>
    <tableColumn id="2" xr3:uid="{A3E3A701-77F6-4D7C-A821-C96648E08912}" name="Country Code" dataDxfId="5">
      <calculatedColumnFormula>RIGHT((A2),2)</calculatedColumnFormula>
    </tableColumn>
    <tableColumn id="3" xr3:uid="{EA039C2C-184E-4C22-A928-264F2013282E}" name="Product-Brand" dataDxfId="4">
      <calculatedColumnFormula>CONCATENATE(B2,"-",C2)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E152F7-7212-42D3-B15F-A0A79D229716}" name="Table4" displayName="Table4" ref="X3:Y37" totalsRowShown="0" headerRowDxfId="3" dataDxfId="2">
  <autoFilter ref="X3:Y37" xr:uid="{86E152F7-7212-42D3-B15F-A0A79D229716}"/>
  <tableColumns count="2">
    <tableColumn id="1" xr3:uid="{4CAE7241-2B45-4A6D-AFCC-409D6A697C2B}" name="Price($)" dataDxfId="1"/>
    <tableColumn id="2" xr3:uid="{09299213-1717-475A-A3C8-2B67C798A709}" name="Date Format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0"/>
  <sheetViews>
    <sheetView tabSelected="1" topLeftCell="K1" zoomScale="75" zoomScaleNormal="75" workbookViewId="0">
      <selection activeCell="M11" sqref="M11"/>
    </sheetView>
  </sheetViews>
  <sheetFormatPr defaultColWidth="12.6640625" defaultRowHeight="15" customHeight="1" x14ac:dyDescent="0.25"/>
  <cols>
    <col min="1" max="6" width="12.6640625" customWidth="1"/>
    <col min="8" max="8" width="19.6640625" customWidth="1"/>
    <col min="9" max="9" width="20.33203125" customWidth="1"/>
    <col min="10" max="10" width="19.109375" customWidth="1"/>
    <col min="11" max="11" width="21.109375" customWidth="1"/>
    <col min="14" max="14" width="15.21875" customWidth="1"/>
    <col min="15" max="15" width="13.6640625" customWidth="1"/>
    <col min="16" max="17" width="12.77734375" bestFit="1" customWidth="1"/>
    <col min="20" max="20" width="19.5546875" customWidth="1"/>
    <col min="21" max="21" width="14.6640625" customWidth="1"/>
    <col min="22" max="22" width="26.44140625" customWidth="1"/>
    <col min="24" max="24" width="12.77734375" bestFit="1" customWidth="1"/>
    <col min="25" max="25" width="18.33203125" style="23" bestFit="1" customWidth="1"/>
    <col min="27" max="27" width="14.5546875" customWidth="1"/>
    <col min="28" max="28" width="14.77734375" customWidth="1"/>
  </cols>
  <sheetData>
    <row r="1" spans="1:28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28" ht="15.75" customHeight="1" x14ac:dyDescent="0.3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  <c r="H2" s="16" t="s">
        <v>116</v>
      </c>
      <c r="I2" s="16" t="s">
        <v>117</v>
      </c>
      <c r="J2" s="16" t="s">
        <v>118</v>
      </c>
      <c r="K2" s="16" t="s">
        <v>119</v>
      </c>
      <c r="L2" s="16"/>
      <c r="M2" s="21" t="s">
        <v>120</v>
      </c>
      <c r="N2" s="21"/>
      <c r="O2" s="21"/>
      <c r="P2" s="21"/>
      <c r="Q2" s="21"/>
      <c r="R2" s="21"/>
      <c r="S2" s="16"/>
      <c r="T2" s="21" t="s">
        <v>121</v>
      </c>
      <c r="U2" s="21"/>
      <c r="V2" s="16"/>
      <c r="W2" s="16"/>
      <c r="X2" s="21" t="s">
        <v>124</v>
      </c>
      <c r="Y2" s="21"/>
      <c r="Z2" s="9"/>
      <c r="AA2" s="22" t="s">
        <v>127</v>
      </c>
      <c r="AB2" s="22"/>
    </row>
    <row r="3" spans="1:28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H3" s="16">
        <f>IF(ISBLANK(D2),AVERAGE(D$2:D$35),D2)</f>
        <v>1000</v>
      </c>
      <c r="I3" s="16" t="str">
        <f>IF(ISBLANK(F2),"UNKNOWN",F2)</f>
        <v>Electronics</v>
      </c>
      <c r="J3" s="17" t="s">
        <v>61</v>
      </c>
      <c r="K3" s="16" t="s">
        <v>28</v>
      </c>
      <c r="L3" s="16"/>
      <c r="M3" s="16" t="s">
        <v>19</v>
      </c>
      <c r="N3" s="16" t="s">
        <v>20</v>
      </c>
      <c r="O3" s="16" t="s">
        <v>21</v>
      </c>
      <c r="P3" s="16" t="s">
        <v>22</v>
      </c>
      <c r="Q3" s="16" t="s">
        <v>23</v>
      </c>
      <c r="R3" s="16" t="s">
        <v>24</v>
      </c>
      <c r="S3" s="16"/>
      <c r="T3" s="16" t="s">
        <v>123</v>
      </c>
      <c r="U3" s="16" t="s">
        <v>122</v>
      </c>
      <c r="V3" s="16" t="s">
        <v>128</v>
      </c>
      <c r="W3" s="16"/>
      <c r="X3" s="18" t="s">
        <v>125</v>
      </c>
      <c r="Y3" s="24" t="s">
        <v>126</v>
      </c>
      <c r="Z3" s="9"/>
      <c r="AA3" s="10" t="s">
        <v>125</v>
      </c>
      <c r="AB3" s="11" t="s">
        <v>24</v>
      </c>
    </row>
    <row r="4" spans="1:28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H4" s="16">
        <f t="shared" ref="H4:H36" si="0">IF(ISBLANK(D3),AVERAGE(D$2:D$35),D3)</f>
        <v>80</v>
      </c>
      <c r="I4" s="16" t="str">
        <f t="shared" ref="I4:K36" si="1">IF(ISBLANK(F3),"UNKNOWN",F3)</f>
        <v>Fashion</v>
      </c>
      <c r="J4" s="19" t="s">
        <v>30</v>
      </c>
      <c r="K4" s="16" t="s">
        <v>32</v>
      </c>
      <c r="L4" s="16"/>
      <c r="M4" s="16" t="s">
        <v>25</v>
      </c>
      <c r="N4" s="16" t="s">
        <v>26</v>
      </c>
      <c r="O4" s="16" t="s">
        <v>27</v>
      </c>
      <c r="P4" s="16">
        <v>1000</v>
      </c>
      <c r="Q4" s="16">
        <v>30</v>
      </c>
      <c r="R4" s="16" t="s">
        <v>28</v>
      </c>
      <c r="S4" s="16"/>
      <c r="T4" s="16" t="str">
        <f>LEFT((A2),6)</f>
        <v>28-JAN</v>
      </c>
      <c r="U4" s="16" t="str">
        <f>RIGHT((A2),2)</f>
        <v>US</v>
      </c>
      <c r="V4" s="16" t="str">
        <f>CONCATENATE(B2,"-",C2)</f>
        <v>laptop-Dell</v>
      </c>
      <c r="W4" s="16"/>
      <c r="X4" s="20">
        <v>1000</v>
      </c>
      <c r="Y4" s="25">
        <v>45685</v>
      </c>
      <c r="Z4" s="9"/>
      <c r="AA4" s="13">
        <f>IF(ISBLANK(D2),AVERAGE(D$2:D$35),D2)</f>
        <v>1000</v>
      </c>
      <c r="AB4" s="14" t="s">
        <v>28</v>
      </c>
    </row>
    <row r="5" spans="1:28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H5" s="16">
        <f t="shared" si="0"/>
        <v>130</v>
      </c>
      <c r="I5" s="16" t="str">
        <f t="shared" si="1"/>
        <v>Kitchen</v>
      </c>
      <c r="J5" s="17" t="s">
        <v>34</v>
      </c>
      <c r="K5" s="16" t="s">
        <v>36</v>
      </c>
      <c r="L5" s="16"/>
      <c r="M5" s="16" t="s">
        <v>29</v>
      </c>
      <c r="N5" s="16" t="s">
        <v>30</v>
      </c>
      <c r="O5" s="16" t="s">
        <v>31</v>
      </c>
      <c r="P5" s="16">
        <v>80</v>
      </c>
      <c r="Q5" s="16">
        <v>15</v>
      </c>
      <c r="R5" s="16" t="s">
        <v>32</v>
      </c>
      <c r="S5" s="16"/>
      <c r="T5" s="16" t="str">
        <f t="shared" ref="T5:T37" si="2">LEFT((A3),6)</f>
        <v>15-FEB</v>
      </c>
      <c r="U5" s="16" t="str">
        <f t="shared" ref="U5:U37" si="3">RIGHT((A3),2)</f>
        <v>US</v>
      </c>
      <c r="V5" s="16" t="str">
        <f t="shared" ref="V5:V37" si="4">CONCATENATE(B3,"-",C3)</f>
        <v>Sneakers-Nike</v>
      </c>
      <c r="W5" s="16"/>
      <c r="X5" s="20">
        <v>80</v>
      </c>
      <c r="Y5" s="26">
        <v>45703</v>
      </c>
      <c r="Z5" s="9"/>
      <c r="AA5" s="13">
        <f t="shared" ref="AA5:AA37" si="5">IF(ISBLANK(D3),AVERAGE(D$2:D$35),D3)</f>
        <v>80</v>
      </c>
      <c r="AB5" s="15" t="s">
        <v>32</v>
      </c>
    </row>
    <row r="6" spans="1:28" ht="15.75" customHeight="1" x14ac:dyDescent="0.3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  <c r="H6" s="16">
        <f t="shared" si="0"/>
        <v>900</v>
      </c>
      <c r="I6" s="16" t="str">
        <f t="shared" si="1"/>
        <v>Electronics</v>
      </c>
      <c r="J6" s="19" t="s">
        <v>96</v>
      </c>
      <c r="K6" s="16" t="s">
        <v>28</v>
      </c>
      <c r="L6" s="16"/>
      <c r="M6" s="16" t="s">
        <v>33</v>
      </c>
      <c r="N6" s="16" t="s">
        <v>34</v>
      </c>
      <c r="O6" s="16" t="s">
        <v>35</v>
      </c>
      <c r="P6" s="16">
        <v>130</v>
      </c>
      <c r="Q6" s="16">
        <v>40</v>
      </c>
      <c r="R6" s="16" t="s">
        <v>36</v>
      </c>
      <c r="S6" s="16"/>
      <c r="T6" s="16" t="str">
        <f t="shared" si="2"/>
        <v>03-MAR</v>
      </c>
      <c r="U6" s="16" t="str">
        <f t="shared" si="3"/>
        <v>US</v>
      </c>
      <c r="V6" s="16" t="str">
        <f t="shared" si="4"/>
        <v>Coffee Maker-Keurig</v>
      </c>
      <c r="W6" s="16"/>
      <c r="X6" s="20">
        <v>130</v>
      </c>
      <c r="Y6" s="25">
        <v>45719</v>
      </c>
      <c r="Z6" s="9"/>
      <c r="AA6" s="13">
        <f t="shared" si="5"/>
        <v>130</v>
      </c>
      <c r="AB6" s="14" t="s">
        <v>36</v>
      </c>
    </row>
    <row r="7" spans="1:28" ht="15.75" customHeight="1" x14ac:dyDescent="0.3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  <c r="H7" s="16">
        <f t="shared" si="0"/>
        <v>70</v>
      </c>
      <c r="I7" s="16" t="str">
        <f t="shared" si="1"/>
        <v>UNKNOWN</v>
      </c>
      <c r="J7" s="17" t="s">
        <v>41</v>
      </c>
      <c r="K7" s="16" t="s">
        <v>129</v>
      </c>
      <c r="L7" s="16"/>
      <c r="M7" s="16" t="s">
        <v>37</v>
      </c>
      <c r="N7" s="16" t="s">
        <v>38</v>
      </c>
      <c r="O7" s="16" t="s">
        <v>39</v>
      </c>
      <c r="P7" s="16">
        <v>900</v>
      </c>
      <c r="Q7" s="16">
        <v>25</v>
      </c>
      <c r="R7" s="16" t="s">
        <v>28</v>
      </c>
      <c r="S7" s="16"/>
      <c r="T7" s="16" t="str">
        <f t="shared" si="2"/>
        <v>11-APR</v>
      </c>
      <c r="U7" s="16" t="str">
        <f t="shared" si="3"/>
        <v>US</v>
      </c>
      <c r="V7" s="16" t="str">
        <f t="shared" si="4"/>
        <v>smartphone-Samsung</v>
      </c>
      <c r="W7" s="16"/>
      <c r="X7" s="20">
        <v>900</v>
      </c>
      <c r="Y7" s="26">
        <v>45758</v>
      </c>
      <c r="Z7" s="9"/>
      <c r="AA7" s="13">
        <f t="shared" si="5"/>
        <v>900</v>
      </c>
      <c r="AB7" s="15" t="s">
        <v>28</v>
      </c>
    </row>
    <row r="8" spans="1:28" ht="15.75" customHeight="1" x14ac:dyDescent="0.3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  <c r="H8" s="16">
        <f t="shared" si="0"/>
        <v>309.35483870967744</v>
      </c>
      <c r="I8" s="16" t="str">
        <f t="shared" si="1"/>
        <v>Electroni</v>
      </c>
      <c r="J8" s="19" t="s">
        <v>44</v>
      </c>
      <c r="K8" s="16" t="s">
        <v>28</v>
      </c>
      <c r="L8" s="16"/>
      <c r="M8" s="16" t="s">
        <v>40</v>
      </c>
      <c r="N8" s="16" t="s">
        <v>41</v>
      </c>
      <c r="O8" s="16" t="s">
        <v>42</v>
      </c>
      <c r="P8" s="16">
        <v>70</v>
      </c>
      <c r="Q8" s="16">
        <v>20</v>
      </c>
      <c r="R8" s="16"/>
      <c r="S8" s="16"/>
      <c r="T8" s="16" t="str">
        <f t="shared" si="2"/>
        <v>22-MAY</v>
      </c>
      <c r="U8" s="16" t="str">
        <f t="shared" si="3"/>
        <v>US</v>
      </c>
      <c r="V8" s="16" t="str">
        <f t="shared" si="4"/>
        <v>Backpack-North Face</v>
      </c>
      <c r="W8" s="16"/>
      <c r="X8" s="20">
        <v>70</v>
      </c>
      <c r="Y8" s="25">
        <v>45799</v>
      </c>
      <c r="Z8" s="9"/>
      <c r="AA8" s="13">
        <f t="shared" si="5"/>
        <v>70</v>
      </c>
      <c r="AB8" s="14" t="s">
        <v>129</v>
      </c>
    </row>
    <row r="9" spans="1:28" ht="15.75" customHeight="1" x14ac:dyDescent="0.3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  <c r="H9" s="16">
        <f t="shared" si="0"/>
        <v>30</v>
      </c>
      <c r="I9" s="16" t="str">
        <f t="shared" si="1"/>
        <v>Fashion</v>
      </c>
      <c r="J9" s="17" t="s">
        <v>48</v>
      </c>
      <c r="K9" s="16" t="s">
        <v>32</v>
      </c>
      <c r="L9" s="16"/>
      <c r="M9" s="16" t="s">
        <v>43</v>
      </c>
      <c r="N9" s="16" t="s">
        <v>44</v>
      </c>
      <c r="O9" s="16" t="s">
        <v>45</v>
      </c>
      <c r="P9" s="16"/>
      <c r="Q9" s="16">
        <v>45</v>
      </c>
      <c r="R9" s="16" t="s">
        <v>46</v>
      </c>
      <c r="S9" s="16"/>
      <c r="T9" s="16" t="str">
        <f t="shared" si="2"/>
        <v>07-JUN</v>
      </c>
      <c r="U9" s="16" t="str">
        <f t="shared" si="3"/>
        <v>UK</v>
      </c>
      <c r="V9" s="16" t="str">
        <f t="shared" si="4"/>
        <v>Headphones-Sony</v>
      </c>
      <c r="W9" s="16"/>
      <c r="X9" s="20">
        <v>309.35483870967744</v>
      </c>
      <c r="Y9" s="26">
        <v>45815</v>
      </c>
      <c r="Z9" s="9"/>
      <c r="AA9" s="13">
        <f t="shared" si="5"/>
        <v>309.35483870967744</v>
      </c>
      <c r="AB9" s="15" t="s">
        <v>28</v>
      </c>
    </row>
    <row r="10" spans="1:28" ht="15.75" customHeight="1" x14ac:dyDescent="0.3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  <c r="H10" s="16">
        <f t="shared" si="0"/>
        <v>90</v>
      </c>
      <c r="I10" s="16" t="str">
        <f t="shared" si="1"/>
        <v>Kitchen</v>
      </c>
      <c r="J10" s="19" t="s">
        <v>51</v>
      </c>
      <c r="K10" s="16" t="s">
        <v>36</v>
      </c>
      <c r="L10" s="16"/>
      <c r="M10" s="16" t="s">
        <v>47</v>
      </c>
      <c r="N10" s="16" t="s">
        <v>48</v>
      </c>
      <c r="O10" s="16" t="s">
        <v>49</v>
      </c>
      <c r="P10" s="16">
        <v>30</v>
      </c>
      <c r="Q10" s="16">
        <v>5</v>
      </c>
      <c r="R10" s="16" t="s">
        <v>32</v>
      </c>
      <c r="S10" s="16"/>
      <c r="T10" s="16" t="str">
        <f t="shared" si="2"/>
        <v>19-JUL</v>
      </c>
      <c r="U10" s="16" t="str">
        <f t="shared" si="3"/>
        <v>UK</v>
      </c>
      <c r="V10" s="16" t="str">
        <f t="shared" si="4"/>
        <v>T-shirt-Adidas</v>
      </c>
      <c r="W10" s="16"/>
      <c r="X10" s="20">
        <v>30</v>
      </c>
      <c r="Y10" s="25">
        <v>45857</v>
      </c>
      <c r="Z10" s="9"/>
      <c r="AA10" s="13">
        <f t="shared" si="5"/>
        <v>30</v>
      </c>
      <c r="AB10" s="14" t="s">
        <v>32</v>
      </c>
    </row>
    <row r="11" spans="1:28" ht="15.75" customHeight="1" x14ac:dyDescent="0.3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  <c r="H11" s="16">
        <f t="shared" si="0"/>
        <v>500</v>
      </c>
      <c r="I11" s="16" t="str">
        <f t="shared" si="1"/>
        <v>Electronics</v>
      </c>
      <c r="J11" s="17" t="s">
        <v>54</v>
      </c>
      <c r="K11" s="16" t="s">
        <v>28</v>
      </c>
      <c r="L11" s="16"/>
      <c r="M11" s="16" t="s">
        <v>50</v>
      </c>
      <c r="N11" s="16" t="s">
        <v>51</v>
      </c>
      <c r="O11" s="16" t="s">
        <v>52</v>
      </c>
      <c r="P11" s="16">
        <v>90</v>
      </c>
      <c r="Q11" s="16">
        <v>35</v>
      </c>
      <c r="R11" s="16" t="s">
        <v>36</v>
      </c>
      <c r="S11" s="16"/>
      <c r="T11" s="16" t="str">
        <f t="shared" si="2"/>
        <v>23-AUG</v>
      </c>
      <c r="U11" s="16" t="str">
        <f t="shared" si="3"/>
        <v>UK</v>
      </c>
      <c r="V11" s="16" t="str">
        <f t="shared" si="4"/>
        <v>Blender-Ninja</v>
      </c>
      <c r="W11" s="16"/>
      <c r="X11" s="20">
        <v>90</v>
      </c>
      <c r="Y11" s="26">
        <v>45892</v>
      </c>
      <c r="Z11" s="9"/>
      <c r="AA11" s="13">
        <f t="shared" si="5"/>
        <v>90</v>
      </c>
      <c r="AB11" s="15" t="s">
        <v>36</v>
      </c>
    </row>
    <row r="12" spans="1:28" ht="15.75" customHeight="1" x14ac:dyDescent="0.3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  <c r="H12" s="16">
        <f t="shared" si="0"/>
        <v>130</v>
      </c>
      <c r="I12" s="16" t="str">
        <f t="shared" si="1"/>
        <v>Outdoor</v>
      </c>
      <c r="J12" s="19" t="s">
        <v>57</v>
      </c>
      <c r="K12" s="16" t="s">
        <v>59</v>
      </c>
      <c r="L12" s="16"/>
      <c r="M12" s="16" t="s">
        <v>53</v>
      </c>
      <c r="N12" s="16" t="s">
        <v>54</v>
      </c>
      <c r="O12" s="16" t="s">
        <v>55</v>
      </c>
      <c r="P12" s="16">
        <v>500</v>
      </c>
      <c r="Q12" s="16">
        <v>50</v>
      </c>
      <c r="R12" s="16" t="s">
        <v>28</v>
      </c>
      <c r="S12" s="16"/>
      <c r="T12" s="16" t="str">
        <f t="shared" si="2"/>
        <v>05-SEP</v>
      </c>
      <c r="U12" s="16" t="str">
        <f t="shared" si="3"/>
        <v>UK</v>
      </c>
      <c r="V12" s="16" t="str">
        <f t="shared" si="4"/>
        <v>Tablet-Apple</v>
      </c>
      <c r="W12" s="16"/>
      <c r="X12" s="20">
        <v>500</v>
      </c>
      <c r="Y12" s="25">
        <v>45905</v>
      </c>
      <c r="Z12" s="9"/>
      <c r="AA12" s="13">
        <f t="shared" si="5"/>
        <v>500</v>
      </c>
      <c r="AB12" s="14" t="s">
        <v>28</v>
      </c>
    </row>
    <row r="13" spans="1:28" ht="15.75" customHeight="1" x14ac:dyDescent="0.3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  <c r="H13" s="16">
        <f t="shared" si="0"/>
        <v>950</v>
      </c>
      <c r="I13" s="16" t="str">
        <f t="shared" si="1"/>
        <v>Electronics</v>
      </c>
      <c r="J13" s="17" t="s">
        <v>61</v>
      </c>
      <c r="K13" s="16" t="s">
        <v>28</v>
      </c>
      <c r="L13" s="16"/>
      <c r="M13" s="16" t="s">
        <v>56</v>
      </c>
      <c r="N13" s="16" t="s">
        <v>57</v>
      </c>
      <c r="O13" s="16" t="s">
        <v>58</v>
      </c>
      <c r="P13" s="16">
        <v>130</v>
      </c>
      <c r="Q13" s="16">
        <v>10</v>
      </c>
      <c r="R13" s="16" t="s">
        <v>59</v>
      </c>
      <c r="S13" s="16"/>
      <c r="T13" s="16" t="str">
        <f t="shared" si="2"/>
        <v>14-OCT</v>
      </c>
      <c r="U13" s="16" t="str">
        <f t="shared" si="3"/>
        <v>UK</v>
      </c>
      <c r="V13" s="16" t="str">
        <f t="shared" si="4"/>
        <v>Hiking Boots-Timberland</v>
      </c>
      <c r="W13" s="16"/>
      <c r="X13" s="20">
        <v>130</v>
      </c>
      <c r="Y13" s="26">
        <v>45944</v>
      </c>
      <c r="Z13" s="9"/>
      <c r="AA13" s="13">
        <f t="shared" si="5"/>
        <v>130</v>
      </c>
      <c r="AB13" s="15" t="s">
        <v>59</v>
      </c>
    </row>
    <row r="14" spans="1:28" ht="15.75" customHeight="1" x14ac:dyDescent="0.3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  <c r="H14" s="16">
        <f t="shared" si="0"/>
        <v>90</v>
      </c>
      <c r="I14" s="16" t="str">
        <f t="shared" si="1"/>
        <v>UNKNOWN</v>
      </c>
      <c r="J14" s="19" t="s">
        <v>30</v>
      </c>
      <c r="K14" s="16" t="s">
        <v>129</v>
      </c>
      <c r="L14" s="16"/>
      <c r="M14" s="16" t="s">
        <v>60</v>
      </c>
      <c r="N14" s="16" t="s">
        <v>61</v>
      </c>
      <c r="O14" s="16" t="s">
        <v>62</v>
      </c>
      <c r="P14" s="16">
        <v>950</v>
      </c>
      <c r="Q14" s="16">
        <v>25</v>
      </c>
      <c r="R14" s="16" t="s">
        <v>28</v>
      </c>
      <c r="S14" s="16"/>
      <c r="T14" s="16" t="str">
        <f t="shared" si="2"/>
        <v>17-JUN</v>
      </c>
      <c r="U14" s="16" t="str">
        <f t="shared" si="3"/>
        <v>IN</v>
      </c>
      <c r="V14" s="16" t="str">
        <f t="shared" si="4"/>
        <v>Laptop-HP</v>
      </c>
      <c r="W14" s="16"/>
      <c r="X14" s="20">
        <v>950</v>
      </c>
      <c r="Y14" s="25">
        <v>45825</v>
      </c>
      <c r="Z14" s="9"/>
      <c r="AA14" s="13">
        <f t="shared" si="5"/>
        <v>950</v>
      </c>
      <c r="AB14" s="14" t="s">
        <v>28</v>
      </c>
    </row>
    <row r="15" spans="1:28" ht="15.75" customHeight="1" x14ac:dyDescent="0.3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  <c r="H15" s="16">
        <f t="shared" si="0"/>
        <v>120</v>
      </c>
      <c r="I15" s="16" t="str">
        <f t="shared" si="1"/>
        <v>UNKNOWN</v>
      </c>
      <c r="J15" s="17" t="s">
        <v>34</v>
      </c>
      <c r="K15" s="16" t="s">
        <v>129</v>
      </c>
      <c r="L15" s="16"/>
      <c r="M15" s="16" t="s">
        <v>63</v>
      </c>
      <c r="N15" s="16" t="s">
        <v>30</v>
      </c>
      <c r="O15" s="16" t="s">
        <v>49</v>
      </c>
      <c r="P15" s="16">
        <v>90</v>
      </c>
      <c r="Q15" s="16">
        <v>40</v>
      </c>
      <c r="R15" s="16"/>
      <c r="S15" s="16"/>
      <c r="T15" s="16" t="str">
        <f t="shared" si="2"/>
        <v>25-NOV</v>
      </c>
      <c r="U15" s="16" t="str">
        <f t="shared" si="3"/>
        <v>AU</v>
      </c>
      <c r="V15" s="16" t="str">
        <f t="shared" si="4"/>
        <v>Sneakers-Adidas</v>
      </c>
      <c r="W15" s="16"/>
      <c r="X15" s="20">
        <v>90</v>
      </c>
      <c r="Y15" s="26">
        <v>45986</v>
      </c>
      <c r="Z15" s="9"/>
      <c r="AA15" s="13">
        <f t="shared" si="5"/>
        <v>90</v>
      </c>
      <c r="AB15" s="15" t="s">
        <v>129</v>
      </c>
    </row>
    <row r="16" spans="1:28" ht="15.75" customHeight="1" x14ac:dyDescent="0.3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  <c r="H16" s="16">
        <f t="shared" si="0"/>
        <v>150</v>
      </c>
      <c r="I16" s="16" t="str">
        <f t="shared" si="1"/>
        <v>Electroni</v>
      </c>
      <c r="J16" s="19" t="s">
        <v>67</v>
      </c>
      <c r="K16" s="16" t="s">
        <v>28</v>
      </c>
      <c r="L16" s="16"/>
      <c r="M16" s="16" t="s">
        <v>64</v>
      </c>
      <c r="N16" s="16" t="s">
        <v>34</v>
      </c>
      <c r="O16" s="16" t="s">
        <v>65</v>
      </c>
      <c r="P16" s="16">
        <v>120</v>
      </c>
      <c r="Q16" s="16">
        <v>35</v>
      </c>
      <c r="R16" s="16"/>
      <c r="S16" s="16"/>
      <c r="T16" s="16" t="str">
        <f t="shared" si="2"/>
        <v>08-DEC</v>
      </c>
      <c r="U16" s="16" t="str">
        <f t="shared" si="3"/>
        <v>DE</v>
      </c>
      <c r="V16" s="16" t="str">
        <f t="shared" si="4"/>
        <v>Coffee Maker-Nespresso</v>
      </c>
      <c r="W16" s="16"/>
      <c r="X16" s="20">
        <v>120</v>
      </c>
      <c r="Y16" s="25">
        <v>45999</v>
      </c>
      <c r="Z16" s="9"/>
      <c r="AA16" s="13">
        <f t="shared" si="5"/>
        <v>120</v>
      </c>
      <c r="AB16" s="14" t="s">
        <v>129</v>
      </c>
    </row>
    <row r="17" spans="1:28" ht="15.75" customHeight="1" x14ac:dyDescent="0.3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  <c r="H17" s="16">
        <f t="shared" si="0"/>
        <v>250</v>
      </c>
      <c r="I17" s="16" t="str">
        <f t="shared" si="1"/>
        <v>Electroni</v>
      </c>
      <c r="J17" s="17" t="s">
        <v>44</v>
      </c>
      <c r="K17" s="16" t="s">
        <v>28</v>
      </c>
      <c r="L17" s="16"/>
      <c r="M17" s="16" t="s">
        <v>66</v>
      </c>
      <c r="N17" s="16" t="s">
        <v>67</v>
      </c>
      <c r="O17" s="16" t="s">
        <v>68</v>
      </c>
      <c r="P17" s="16">
        <v>150</v>
      </c>
      <c r="Q17" s="16">
        <v>15</v>
      </c>
      <c r="R17" s="16" t="s">
        <v>46</v>
      </c>
      <c r="S17" s="16"/>
      <c r="T17" s="16" t="str">
        <f t="shared" si="2"/>
        <v>18-FEB</v>
      </c>
      <c r="U17" s="16" t="str">
        <f t="shared" si="3"/>
        <v>CA</v>
      </c>
      <c r="V17" s="16" t="str">
        <f t="shared" si="4"/>
        <v>Smartwatch-Fitbit</v>
      </c>
      <c r="W17" s="16"/>
      <c r="X17" s="20">
        <v>150</v>
      </c>
      <c r="Y17" s="26">
        <v>45706</v>
      </c>
      <c r="Z17" s="9"/>
      <c r="AA17" s="13">
        <f t="shared" si="5"/>
        <v>150</v>
      </c>
      <c r="AB17" s="15" t="s">
        <v>28</v>
      </c>
    </row>
    <row r="18" spans="1:28" ht="15.75" customHeight="1" x14ac:dyDescent="0.3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  <c r="H18" s="16">
        <f t="shared" si="0"/>
        <v>50</v>
      </c>
      <c r="I18" s="16" t="str">
        <f t="shared" si="1"/>
        <v>Accessories</v>
      </c>
      <c r="J18" s="19" t="s">
        <v>73</v>
      </c>
      <c r="K18" s="16" t="s">
        <v>75</v>
      </c>
      <c r="L18" s="16"/>
      <c r="M18" s="16" t="s">
        <v>69</v>
      </c>
      <c r="N18" s="16" t="s">
        <v>70</v>
      </c>
      <c r="O18" s="16" t="s">
        <v>71</v>
      </c>
      <c r="P18" s="16">
        <v>250</v>
      </c>
      <c r="Q18" s="16">
        <v>20</v>
      </c>
      <c r="R18" s="16" t="s">
        <v>46</v>
      </c>
      <c r="S18" s="16"/>
      <c r="T18" s="16" t="str">
        <f t="shared" si="2"/>
        <v>16-APR</v>
      </c>
      <c r="U18" s="16" t="str">
        <f t="shared" si="3"/>
        <v>ES</v>
      </c>
      <c r="V18" s="16" t="str">
        <f t="shared" si="4"/>
        <v>headphones-Bose</v>
      </c>
      <c r="W18" s="16"/>
      <c r="X18" s="20">
        <v>250</v>
      </c>
      <c r="Y18" s="25">
        <v>45763</v>
      </c>
      <c r="Z18" s="9"/>
      <c r="AA18" s="13">
        <f t="shared" si="5"/>
        <v>250</v>
      </c>
      <c r="AB18" s="14" t="s">
        <v>28</v>
      </c>
    </row>
    <row r="19" spans="1:28" ht="15.75" customHeight="1" x14ac:dyDescent="0.3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  <c r="H19" s="16">
        <f t="shared" si="0"/>
        <v>160</v>
      </c>
      <c r="I19" s="16" t="str">
        <f t="shared" si="1"/>
        <v>Electroni</v>
      </c>
      <c r="J19" s="17" t="s">
        <v>67</v>
      </c>
      <c r="K19" s="16" t="s">
        <v>28</v>
      </c>
      <c r="L19" s="16"/>
      <c r="M19" s="16" t="s">
        <v>72</v>
      </c>
      <c r="N19" s="16" t="s">
        <v>73</v>
      </c>
      <c r="O19" s="16" t="s">
        <v>74</v>
      </c>
      <c r="P19" s="16">
        <v>50</v>
      </c>
      <c r="Q19" s="16">
        <v>35</v>
      </c>
      <c r="R19" s="16" t="s">
        <v>75</v>
      </c>
      <c r="S19" s="16"/>
      <c r="T19" s="16" t="str">
        <f t="shared" si="2"/>
        <v>21-AUG</v>
      </c>
      <c r="U19" s="16" t="str">
        <f t="shared" si="3"/>
        <v>CA</v>
      </c>
      <c r="V19" s="16" t="str">
        <f t="shared" si="4"/>
        <v>Laptop Bag-Samsonite</v>
      </c>
      <c r="W19" s="16"/>
      <c r="X19" s="20">
        <v>50</v>
      </c>
      <c r="Y19" s="26">
        <v>45890</v>
      </c>
      <c r="Z19" s="9"/>
      <c r="AA19" s="13">
        <f t="shared" si="5"/>
        <v>50</v>
      </c>
      <c r="AB19" s="15" t="s">
        <v>75</v>
      </c>
    </row>
    <row r="20" spans="1:28" ht="15.75" customHeight="1" x14ac:dyDescent="0.3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  <c r="H20" s="16">
        <f t="shared" si="0"/>
        <v>980</v>
      </c>
      <c r="I20" s="16" t="str">
        <f t="shared" si="1"/>
        <v>Electronics</v>
      </c>
      <c r="J20" s="19" t="s">
        <v>61</v>
      </c>
      <c r="K20" s="16" t="s">
        <v>28</v>
      </c>
      <c r="L20" s="16"/>
      <c r="M20" s="16" t="s">
        <v>76</v>
      </c>
      <c r="N20" s="16" t="s">
        <v>67</v>
      </c>
      <c r="O20" s="16" t="s">
        <v>77</v>
      </c>
      <c r="P20" s="16">
        <v>160</v>
      </c>
      <c r="Q20" s="16">
        <v>15</v>
      </c>
      <c r="R20" s="16" t="s">
        <v>46</v>
      </c>
      <c r="S20" s="16"/>
      <c r="T20" s="16" t="str">
        <f t="shared" si="2"/>
        <v>20-AUG</v>
      </c>
      <c r="U20" s="16" t="str">
        <f t="shared" si="3"/>
        <v>CN</v>
      </c>
      <c r="V20" s="16" t="str">
        <f t="shared" si="4"/>
        <v>Smartwatch-Huawei</v>
      </c>
      <c r="W20" s="16"/>
      <c r="X20" s="20">
        <v>160</v>
      </c>
      <c r="Y20" s="25">
        <v>45889</v>
      </c>
      <c r="Z20" s="9"/>
      <c r="AA20" s="13">
        <f t="shared" si="5"/>
        <v>160</v>
      </c>
      <c r="AB20" s="14" t="s">
        <v>28</v>
      </c>
    </row>
    <row r="21" spans="1:28" ht="15.75" customHeight="1" x14ac:dyDescent="0.3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  <c r="H21" s="16">
        <f t="shared" si="0"/>
        <v>150</v>
      </c>
      <c r="I21" s="16" t="str">
        <f t="shared" si="1"/>
        <v>Fashion</v>
      </c>
      <c r="J21" s="17" t="s">
        <v>81</v>
      </c>
      <c r="K21" s="16" t="s">
        <v>32</v>
      </c>
      <c r="L21" s="16"/>
      <c r="M21" s="16" t="s">
        <v>78</v>
      </c>
      <c r="N21" s="16" t="s">
        <v>26</v>
      </c>
      <c r="O21" s="16" t="s">
        <v>79</v>
      </c>
      <c r="P21" s="16">
        <v>980</v>
      </c>
      <c r="Q21" s="16">
        <v>10</v>
      </c>
      <c r="R21" s="16" t="s">
        <v>28</v>
      </c>
      <c r="S21" s="16"/>
      <c r="T21" s="16" t="str">
        <f t="shared" si="2"/>
        <v>27-JAN</v>
      </c>
      <c r="U21" s="16" t="str">
        <f t="shared" si="3"/>
        <v>IT</v>
      </c>
      <c r="V21" s="16" t="str">
        <f t="shared" si="4"/>
        <v>laptop-Asus</v>
      </c>
      <c r="W21" s="16"/>
      <c r="X21" s="20">
        <v>980</v>
      </c>
      <c r="Y21" s="26">
        <v>45684</v>
      </c>
      <c r="Z21" s="9"/>
      <c r="AA21" s="13">
        <f t="shared" si="5"/>
        <v>980</v>
      </c>
      <c r="AB21" s="15" t="s">
        <v>28</v>
      </c>
    </row>
    <row r="22" spans="1:28" ht="15.75" customHeight="1" x14ac:dyDescent="0.3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  <c r="H22" s="16">
        <f t="shared" si="0"/>
        <v>309.35483870967744</v>
      </c>
      <c r="I22" s="16" t="str">
        <f t="shared" si="1"/>
        <v>Outdoor</v>
      </c>
      <c r="J22" s="19" t="s">
        <v>84</v>
      </c>
      <c r="K22" s="16" t="s">
        <v>59</v>
      </c>
      <c r="L22" s="16"/>
      <c r="M22" s="16" t="s">
        <v>80</v>
      </c>
      <c r="N22" s="16" t="s">
        <v>81</v>
      </c>
      <c r="O22" s="16" t="s">
        <v>82</v>
      </c>
      <c r="P22" s="16">
        <v>150</v>
      </c>
      <c r="Q22" s="16">
        <v>15</v>
      </c>
      <c r="R22" s="16" t="s">
        <v>32</v>
      </c>
      <c r="S22" s="16"/>
      <c r="T22" s="16" t="str">
        <f t="shared" si="2"/>
        <v>01-MAR</v>
      </c>
      <c r="U22" s="16" t="str">
        <f t="shared" si="3"/>
        <v>UK</v>
      </c>
      <c r="V22" s="16" t="str">
        <f t="shared" si="4"/>
        <v>Sunglasses-Oakley</v>
      </c>
      <c r="W22" s="16"/>
      <c r="X22" s="20">
        <v>150</v>
      </c>
      <c r="Y22" s="25">
        <v>45717</v>
      </c>
      <c r="Z22" s="9"/>
      <c r="AA22" s="13">
        <f t="shared" si="5"/>
        <v>150</v>
      </c>
      <c r="AB22" s="14" t="s">
        <v>32</v>
      </c>
    </row>
    <row r="23" spans="1:28" ht="15.75" customHeight="1" x14ac:dyDescent="0.3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  <c r="H23" s="16">
        <f t="shared" si="0"/>
        <v>700</v>
      </c>
      <c r="I23" s="16" t="str">
        <f t="shared" si="1"/>
        <v>Electronics</v>
      </c>
      <c r="J23" s="17" t="s">
        <v>87</v>
      </c>
      <c r="K23" s="16" t="s">
        <v>28</v>
      </c>
      <c r="L23" s="16"/>
      <c r="M23" s="16" t="s">
        <v>83</v>
      </c>
      <c r="N23" s="16" t="s">
        <v>84</v>
      </c>
      <c r="O23" s="16" t="s">
        <v>85</v>
      </c>
      <c r="P23" s="16"/>
      <c r="Q23" s="16">
        <v>10</v>
      </c>
      <c r="R23" s="16" t="s">
        <v>59</v>
      </c>
      <c r="S23" s="16"/>
      <c r="T23" s="16" t="str">
        <f t="shared" si="2"/>
        <v>14-AUG</v>
      </c>
      <c r="U23" s="16" t="str">
        <f t="shared" si="3"/>
        <v>US</v>
      </c>
      <c r="V23" s="16" t="str">
        <f t="shared" si="4"/>
        <v>Camping Tent-Coleman</v>
      </c>
      <c r="W23" s="16"/>
      <c r="X23" s="20">
        <v>309.35483870967744</v>
      </c>
      <c r="Y23" s="26">
        <v>45883</v>
      </c>
      <c r="Z23" s="9"/>
      <c r="AA23" s="13">
        <f t="shared" si="5"/>
        <v>309.35483870967744</v>
      </c>
      <c r="AB23" s="15" t="s">
        <v>59</v>
      </c>
    </row>
    <row r="24" spans="1:28" ht="15.75" customHeight="1" x14ac:dyDescent="0.3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  <c r="H24" s="16">
        <f t="shared" si="0"/>
        <v>80</v>
      </c>
      <c r="I24" s="16" t="str">
        <f t="shared" si="1"/>
        <v>Kitchen</v>
      </c>
      <c r="J24" s="19" t="s">
        <v>90</v>
      </c>
      <c r="K24" s="16" t="s">
        <v>36</v>
      </c>
      <c r="L24" s="16"/>
      <c r="M24" s="16" t="s">
        <v>86</v>
      </c>
      <c r="N24" s="16" t="s">
        <v>87</v>
      </c>
      <c r="O24" s="16" t="s">
        <v>88</v>
      </c>
      <c r="P24" s="16">
        <v>700</v>
      </c>
      <c r="Q24" s="16">
        <v>50</v>
      </c>
      <c r="R24" s="16" t="s">
        <v>28</v>
      </c>
      <c r="S24" s="16"/>
      <c r="T24" s="16" t="str">
        <f t="shared" si="2"/>
        <v>14-MAY</v>
      </c>
      <c r="U24" s="16" t="str">
        <f t="shared" si="3"/>
        <v>RU</v>
      </c>
      <c r="V24" s="16" t="str">
        <f t="shared" si="4"/>
        <v>Camera-Nikon</v>
      </c>
      <c r="W24" s="16"/>
      <c r="X24" s="20">
        <v>700</v>
      </c>
      <c r="Y24" s="25">
        <v>45791</v>
      </c>
      <c r="Z24" s="9"/>
      <c r="AA24" s="13">
        <f t="shared" si="5"/>
        <v>700</v>
      </c>
      <c r="AB24" s="14" t="s">
        <v>28</v>
      </c>
    </row>
    <row r="25" spans="1:28" ht="15.75" customHeight="1" x14ac:dyDescent="0.3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  <c r="H25" s="16">
        <f t="shared" si="0"/>
        <v>150</v>
      </c>
      <c r="I25" s="16" t="str">
        <f t="shared" si="1"/>
        <v>UNKNOWN</v>
      </c>
      <c r="J25" s="17" t="s">
        <v>93</v>
      </c>
      <c r="K25" s="16" t="s">
        <v>129</v>
      </c>
      <c r="L25" s="16"/>
      <c r="M25" s="16" t="s">
        <v>89</v>
      </c>
      <c r="N25" s="16" t="s">
        <v>90</v>
      </c>
      <c r="O25" s="16" t="s">
        <v>91</v>
      </c>
      <c r="P25" s="16">
        <v>80</v>
      </c>
      <c r="Q25" s="16">
        <v>20</v>
      </c>
      <c r="R25" s="16" t="s">
        <v>36</v>
      </c>
      <c r="S25" s="16"/>
      <c r="T25" s="16" t="str">
        <f t="shared" si="2"/>
        <v>09-JAN</v>
      </c>
      <c r="U25" s="16" t="str">
        <f t="shared" si="3"/>
        <v>CA</v>
      </c>
      <c r="V25" s="16" t="str">
        <f t="shared" si="4"/>
        <v>Microwave-Panasonic</v>
      </c>
      <c r="W25" s="16"/>
      <c r="X25" s="20">
        <v>80</v>
      </c>
      <c r="Y25" s="26">
        <v>45666</v>
      </c>
      <c r="Z25" s="9"/>
      <c r="AA25" s="13">
        <f t="shared" si="5"/>
        <v>80</v>
      </c>
      <c r="AB25" s="15" t="s">
        <v>36</v>
      </c>
    </row>
    <row r="26" spans="1:28" ht="15.75" customHeight="1" x14ac:dyDescent="0.3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  <c r="H26" s="16">
        <f t="shared" si="0"/>
        <v>50</v>
      </c>
      <c r="I26" s="16" t="str">
        <f t="shared" si="1"/>
        <v>Accessories</v>
      </c>
      <c r="J26" s="19" t="s">
        <v>73</v>
      </c>
      <c r="K26" s="16" t="s">
        <v>75</v>
      </c>
      <c r="L26" s="16"/>
      <c r="M26" s="16" t="s">
        <v>92</v>
      </c>
      <c r="N26" s="16" t="s">
        <v>93</v>
      </c>
      <c r="O26" s="16" t="s">
        <v>94</v>
      </c>
      <c r="P26" s="16">
        <v>150</v>
      </c>
      <c r="Q26" s="16">
        <v>30</v>
      </c>
      <c r="R26" s="16"/>
      <c r="S26" s="16"/>
      <c r="T26" s="16" t="str">
        <f t="shared" si="2"/>
        <v>19-JUL</v>
      </c>
      <c r="U26" s="16" t="str">
        <f t="shared" si="3"/>
        <v>BR</v>
      </c>
      <c r="V26" s="16" t="str">
        <f t="shared" si="4"/>
        <v>Fitness Tracker-Xiaomi</v>
      </c>
      <c r="W26" s="16"/>
      <c r="X26" s="20">
        <v>150</v>
      </c>
      <c r="Y26" s="25">
        <v>45857</v>
      </c>
      <c r="Z26" s="9"/>
      <c r="AA26" s="13">
        <f t="shared" si="5"/>
        <v>150</v>
      </c>
      <c r="AB26" s="14" t="s">
        <v>129</v>
      </c>
    </row>
    <row r="27" spans="1:28" ht="15.75" customHeight="1" x14ac:dyDescent="0.3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  <c r="H27" s="16">
        <f t="shared" si="0"/>
        <v>800</v>
      </c>
      <c r="I27" s="16" t="str">
        <f t="shared" si="1"/>
        <v>Electronics</v>
      </c>
      <c r="J27" s="17" t="s">
        <v>96</v>
      </c>
      <c r="K27" s="16" t="s">
        <v>28</v>
      </c>
      <c r="L27" s="16"/>
      <c r="M27" s="16" t="s">
        <v>95</v>
      </c>
      <c r="N27" s="16" t="s">
        <v>96</v>
      </c>
      <c r="O27" s="16" t="s">
        <v>97</v>
      </c>
      <c r="P27" s="16">
        <v>800</v>
      </c>
      <c r="Q27" s="16">
        <v>45</v>
      </c>
      <c r="R27" s="16" t="s">
        <v>28</v>
      </c>
      <c r="S27" s="16"/>
      <c r="T27" s="16" t="str">
        <f t="shared" si="2"/>
        <v>21-AUG</v>
      </c>
      <c r="U27" s="16" t="str">
        <f t="shared" si="3"/>
        <v>CA</v>
      </c>
      <c r="V27" s="16" t="str">
        <f t="shared" si="4"/>
        <v>Laptop Bag-Samsonite</v>
      </c>
      <c r="W27" s="16"/>
      <c r="X27" s="20">
        <v>50</v>
      </c>
      <c r="Y27" s="26">
        <v>45890</v>
      </c>
      <c r="Z27" s="9"/>
      <c r="AA27" s="13">
        <f t="shared" si="5"/>
        <v>50</v>
      </c>
      <c r="AB27" s="15" t="s">
        <v>75</v>
      </c>
    </row>
    <row r="28" spans="1:28" ht="15.75" customHeight="1" x14ac:dyDescent="0.3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  <c r="H28" s="16">
        <f t="shared" si="0"/>
        <v>309.35483870967744</v>
      </c>
      <c r="I28" s="16" t="str">
        <f t="shared" si="1"/>
        <v>Fashion</v>
      </c>
      <c r="J28" s="19" t="s">
        <v>81</v>
      </c>
      <c r="K28" s="16" t="s">
        <v>32</v>
      </c>
      <c r="L28" s="16"/>
      <c r="M28" s="16" t="s">
        <v>98</v>
      </c>
      <c r="N28" s="16" t="s">
        <v>81</v>
      </c>
      <c r="O28" s="16" t="s">
        <v>99</v>
      </c>
      <c r="P28" s="16"/>
      <c r="Q28" s="16">
        <v>25</v>
      </c>
      <c r="R28" s="16" t="s">
        <v>32</v>
      </c>
      <c r="S28" s="16"/>
      <c r="T28" s="16" t="str">
        <f t="shared" si="2"/>
        <v>29-SEP</v>
      </c>
      <c r="U28" s="16" t="str">
        <f t="shared" si="3"/>
        <v>CA</v>
      </c>
      <c r="V28" s="16" t="str">
        <f t="shared" si="4"/>
        <v>Smartphone-Google</v>
      </c>
      <c r="W28" s="16"/>
      <c r="X28" s="20">
        <v>800</v>
      </c>
      <c r="Y28" s="25">
        <v>45929</v>
      </c>
      <c r="Z28" s="9"/>
      <c r="AA28" s="13">
        <f t="shared" si="5"/>
        <v>800</v>
      </c>
      <c r="AB28" s="14" t="s">
        <v>28</v>
      </c>
    </row>
    <row r="29" spans="1:28" ht="15.75" customHeight="1" x14ac:dyDescent="0.3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  <c r="H29" s="16">
        <f t="shared" si="0"/>
        <v>400</v>
      </c>
      <c r="I29" s="16" t="str">
        <f t="shared" si="1"/>
        <v>Kitchen</v>
      </c>
      <c r="J29" s="17" t="s">
        <v>51</v>
      </c>
      <c r="K29" s="16" t="s">
        <v>36</v>
      </c>
      <c r="L29" s="16"/>
      <c r="M29" s="16" t="s">
        <v>100</v>
      </c>
      <c r="N29" s="16" t="s">
        <v>51</v>
      </c>
      <c r="O29" s="16" t="s">
        <v>101</v>
      </c>
      <c r="P29" s="16">
        <v>400</v>
      </c>
      <c r="Q29" s="16">
        <v>40</v>
      </c>
      <c r="R29" s="16" t="s">
        <v>36</v>
      </c>
      <c r="S29" s="16"/>
      <c r="T29" s="16" t="str">
        <f t="shared" si="2"/>
        <v>03-JUN</v>
      </c>
      <c r="U29" s="16" t="str">
        <f t="shared" si="3"/>
        <v>CA</v>
      </c>
      <c r="V29" s="16" t="str">
        <f t="shared" si="4"/>
        <v>Sunglasses-Ray-Ban</v>
      </c>
      <c r="W29" s="16"/>
      <c r="X29" s="20">
        <v>309.35483870967744</v>
      </c>
      <c r="Y29" s="26">
        <v>45811</v>
      </c>
      <c r="Z29" s="9"/>
      <c r="AA29" s="13">
        <f t="shared" si="5"/>
        <v>309.35483870967744</v>
      </c>
      <c r="AB29" s="15" t="s">
        <v>32</v>
      </c>
    </row>
    <row r="30" spans="1:28" ht="15.75" customHeight="1" x14ac:dyDescent="0.3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  <c r="H30" s="16">
        <f t="shared" si="0"/>
        <v>250</v>
      </c>
      <c r="I30" s="16" t="str">
        <f t="shared" si="1"/>
        <v>Electroni</v>
      </c>
      <c r="J30" s="19" t="s">
        <v>44</v>
      </c>
      <c r="K30" s="16" t="s">
        <v>28</v>
      </c>
      <c r="L30" s="16"/>
      <c r="M30" s="16" t="s">
        <v>102</v>
      </c>
      <c r="N30" s="16" t="s">
        <v>103</v>
      </c>
      <c r="O30" s="16" t="s">
        <v>104</v>
      </c>
      <c r="P30" s="16">
        <v>60</v>
      </c>
      <c r="Q30" s="16">
        <v>30</v>
      </c>
      <c r="R30" s="16" t="s">
        <v>32</v>
      </c>
      <c r="S30" s="16"/>
      <c r="T30" s="16" t="str">
        <f t="shared" si="2"/>
        <v>11-JUL</v>
      </c>
      <c r="U30" s="16" t="str">
        <f t="shared" si="3"/>
        <v>CA</v>
      </c>
      <c r="V30" s="16" t="str">
        <f t="shared" si="4"/>
        <v>Blender-Vitamix</v>
      </c>
      <c r="W30" s="16"/>
      <c r="X30" s="20">
        <v>400</v>
      </c>
      <c r="Y30" s="25">
        <v>45849</v>
      </c>
      <c r="Z30" s="9"/>
      <c r="AA30" s="13">
        <f t="shared" si="5"/>
        <v>400</v>
      </c>
      <c r="AB30" s="14" t="s">
        <v>36</v>
      </c>
    </row>
    <row r="31" spans="1:28" ht="15.75" customHeight="1" x14ac:dyDescent="0.3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  <c r="H31" s="16">
        <f t="shared" si="0"/>
        <v>60</v>
      </c>
      <c r="I31" s="16" t="str">
        <f t="shared" si="1"/>
        <v>Fashion</v>
      </c>
      <c r="J31" s="17" t="s">
        <v>103</v>
      </c>
      <c r="K31" s="16" t="s">
        <v>32</v>
      </c>
      <c r="L31" s="16"/>
      <c r="M31" s="16" t="s">
        <v>105</v>
      </c>
      <c r="N31" s="16" t="s">
        <v>106</v>
      </c>
      <c r="O31" s="16" t="s">
        <v>107</v>
      </c>
      <c r="P31" s="16">
        <v>40</v>
      </c>
      <c r="Q31" s="16">
        <v>10</v>
      </c>
      <c r="R31" s="16" t="s">
        <v>36</v>
      </c>
      <c r="S31" s="16"/>
      <c r="T31" s="16" t="str">
        <f t="shared" si="2"/>
        <v>16-APR</v>
      </c>
      <c r="U31" s="16" t="str">
        <f t="shared" si="3"/>
        <v>ES</v>
      </c>
      <c r="V31" s="16" t="str">
        <f t="shared" si="4"/>
        <v>headphones-Bose</v>
      </c>
      <c r="W31" s="16"/>
      <c r="X31" s="20">
        <v>250</v>
      </c>
      <c r="Y31" s="26">
        <v>45763</v>
      </c>
      <c r="Z31" s="9"/>
      <c r="AA31" s="13">
        <f t="shared" si="5"/>
        <v>250</v>
      </c>
      <c r="AB31" s="15" t="s">
        <v>28</v>
      </c>
    </row>
    <row r="32" spans="1:28" ht="15.75" customHeight="1" x14ac:dyDescent="0.3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  <c r="H32" s="16">
        <f t="shared" si="0"/>
        <v>40</v>
      </c>
      <c r="I32" s="16" t="str">
        <f t="shared" si="1"/>
        <v>Kitchen</v>
      </c>
      <c r="J32" s="19" t="s">
        <v>106</v>
      </c>
      <c r="K32" s="16" t="s">
        <v>36</v>
      </c>
      <c r="L32" s="16"/>
      <c r="M32" s="16" t="s">
        <v>108</v>
      </c>
      <c r="N32" s="16" t="s">
        <v>93</v>
      </c>
      <c r="O32" s="16" t="s">
        <v>109</v>
      </c>
      <c r="P32" s="16">
        <v>130</v>
      </c>
      <c r="Q32" s="16">
        <v>5</v>
      </c>
      <c r="R32" s="16" t="s">
        <v>28</v>
      </c>
      <c r="S32" s="16"/>
      <c r="T32" s="16" t="str">
        <f t="shared" si="2"/>
        <v>07-MAR</v>
      </c>
      <c r="U32" s="16" t="str">
        <f t="shared" si="3"/>
        <v>CA</v>
      </c>
      <c r="V32" s="16" t="str">
        <f t="shared" si="4"/>
        <v>Dress-Zara</v>
      </c>
      <c r="W32" s="16"/>
      <c r="X32" s="20">
        <v>60</v>
      </c>
      <c r="Y32" s="25">
        <v>45723</v>
      </c>
      <c r="Z32" s="9"/>
      <c r="AA32" s="13">
        <f t="shared" si="5"/>
        <v>60</v>
      </c>
      <c r="AB32" s="14" t="s">
        <v>32</v>
      </c>
    </row>
    <row r="33" spans="1:28" ht="15.75" customHeight="1" x14ac:dyDescent="0.3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  <c r="H33" s="16">
        <f t="shared" si="0"/>
        <v>130</v>
      </c>
      <c r="I33" s="16" t="str">
        <f t="shared" si="1"/>
        <v>Electronics</v>
      </c>
      <c r="J33" s="17" t="s">
        <v>93</v>
      </c>
      <c r="K33" s="16" t="s">
        <v>28</v>
      </c>
      <c r="L33" s="16"/>
      <c r="M33" s="16" t="s">
        <v>110</v>
      </c>
      <c r="N33" s="16" t="s">
        <v>111</v>
      </c>
      <c r="O33" s="16" t="s">
        <v>112</v>
      </c>
      <c r="P33" s="16">
        <v>50</v>
      </c>
      <c r="Q33" s="16">
        <v>50</v>
      </c>
      <c r="R33" s="16" t="s">
        <v>32</v>
      </c>
      <c r="S33" s="16"/>
      <c r="T33" s="16" t="str">
        <f t="shared" si="2"/>
        <v>13-APR</v>
      </c>
      <c r="U33" s="16" t="str">
        <f t="shared" si="3"/>
        <v>CA</v>
      </c>
      <c r="V33" s="16" t="str">
        <f t="shared" si="4"/>
        <v>Toaster-Hamilton</v>
      </c>
      <c r="W33" s="16"/>
      <c r="X33" s="20">
        <v>40</v>
      </c>
      <c r="Y33" s="26">
        <v>45760</v>
      </c>
      <c r="Z33" s="9"/>
      <c r="AA33" s="13">
        <f t="shared" si="5"/>
        <v>40</v>
      </c>
      <c r="AB33" s="15" t="s">
        <v>36</v>
      </c>
    </row>
    <row r="34" spans="1:28" ht="15.75" customHeight="1" x14ac:dyDescent="0.3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  <c r="H34" s="16">
        <f t="shared" si="0"/>
        <v>50</v>
      </c>
      <c r="I34" s="16" t="str">
        <f t="shared" si="1"/>
        <v>Fashion</v>
      </c>
      <c r="J34" s="19" t="s">
        <v>111</v>
      </c>
      <c r="K34" s="16" t="s">
        <v>32</v>
      </c>
      <c r="L34" s="16"/>
      <c r="M34" s="16" t="s">
        <v>113</v>
      </c>
      <c r="N34" s="16" t="s">
        <v>114</v>
      </c>
      <c r="O34" s="16" t="s">
        <v>115</v>
      </c>
      <c r="P34" s="16">
        <v>100</v>
      </c>
      <c r="Q34" s="16">
        <v>20</v>
      </c>
      <c r="R34" s="16" t="s">
        <v>75</v>
      </c>
      <c r="S34" s="16"/>
      <c r="T34" s="16" t="str">
        <f>LEFT((A32),6)</f>
        <v>24-MAY</v>
      </c>
      <c r="U34" s="16" t="str">
        <f t="shared" si="3"/>
        <v>CA</v>
      </c>
      <c r="V34" s="16" t="str">
        <f t="shared" si="4"/>
        <v>Fitness Tracker-Garmin</v>
      </c>
      <c r="W34" s="16"/>
      <c r="X34" s="20">
        <v>130</v>
      </c>
      <c r="Y34" s="25">
        <v>45801</v>
      </c>
      <c r="Z34" s="9"/>
      <c r="AA34" s="13">
        <f t="shared" si="5"/>
        <v>130</v>
      </c>
      <c r="AB34" s="14" t="s">
        <v>28</v>
      </c>
    </row>
    <row r="35" spans="1:28" ht="15.75" customHeight="1" x14ac:dyDescent="0.3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  <c r="H35" s="16">
        <f t="shared" si="0"/>
        <v>950</v>
      </c>
      <c r="I35" s="16" t="str">
        <f t="shared" si="1"/>
        <v>Electronics</v>
      </c>
      <c r="J35" s="17" t="s">
        <v>61</v>
      </c>
      <c r="K35" s="16" t="s">
        <v>28</v>
      </c>
      <c r="L35" s="16"/>
      <c r="M35" s="16"/>
      <c r="N35" s="16"/>
      <c r="O35" s="16"/>
      <c r="P35" s="16"/>
      <c r="Q35" s="16"/>
      <c r="R35" s="16"/>
      <c r="S35" s="16"/>
      <c r="T35" s="16" t="str">
        <f t="shared" si="2"/>
        <v>02-DEC</v>
      </c>
      <c r="U35" s="16" t="str">
        <f t="shared" si="3"/>
        <v>CA</v>
      </c>
      <c r="V35" s="16" t="str">
        <f t="shared" si="4"/>
        <v>Jeans-Levi's</v>
      </c>
      <c r="W35" s="16"/>
      <c r="X35" s="20">
        <v>50</v>
      </c>
      <c r="Y35" s="26">
        <v>45993</v>
      </c>
      <c r="Z35" s="9"/>
      <c r="AA35" s="13">
        <f t="shared" si="5"/>
        <v>50</v>
      </c>
      <c r="AB35" s="15" t="s">
        <v>32</v>
      </c>
    </row>
    <row r="36" spans="1:28" ht="15.75" customHeight="1" x14ac:dyDescent="0.3">
      <c r="H36" s="16">
        <f t="shared" si="0"/>
        <v>100</v>
      </c>
      <c r="I36" s="16" t="str">
        <f t="shared" si="1"/>
        <v>Accessories</v>
      </c>
      <c r="J36" s="19" t="s">
        <v>114</v>
      </c>
      <c r="K36" s="16" t="s">
        <v>75</v>
      </c>
      <c r="L36" s="16"/>
      <c r="M36" s="16"/>
      <c r="N36" s="16"/>
      <c r="O36" s="16"/>
      <c r="P36" s="16"/>
      <c r="Q36" s="16"/>
      <c r="R36" s="16"/>
      <c r="S36" s="16"/>
      <c r="T36" s="16" t="str">
        <f t="shared" si="2"/>
        <v>17-JUN</v>
      </c>
      <c r="U36" s="16" t="str">
        <f t="shared" si="3"/>
        <v>IN</v>
      </c>
      <c r="V36" s="16" t="str">
        <f t="shared" si="4"/>
        <v>Laptop-HP</v>
      </c>
      <c r="W36" s="16"/>
      <c r="X36" s="20">
        <v>950</v>
      </c>
      <c r="Y36" s="25">
        <v>45825</v>
      </c>
      <c r="Z36" s="9"/>
      <c r="AA36" s="13">
        <f t="shared" si="5"/>
        <v>950</v>
      </c>
      <c r="AB36" s="14" t="s">
        <v>28</v>
      </c>
    </row>
    <row r="37" spans="1:28" ht="15.75" customHeight="1" x14ac:dyDescent="0.3"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16" t="str">
        <f t="shared" si="2"/>
        <v>09-JUL</v>
      </c>
      <c r="U37" s="16" t="str">
        <f t="shared" si="3"/>
        <v>FR</v>
      </c>
      <c r="V37" s="16" t="str">
        <f t="shared" si="4"/>
        <v>Watch-Casio</v>
      </c>
      <c r="W37" s="9"/>
      <c r="X37" s="20">
        <v>100</v>
      </c>
      <c r="Y37" s="26">
        <v>45847</v>
      </c>
      <c r="Z37" s="9"/>
      <c r="AA37" s="13">
        <f t="shared" si="5"/>
        <v>100</v>
      </c>
      <c r="AB37" s="15" t="s">
        <v>75</v>
      </c>
    </row>
    <row r="38" spans="1:28" ht="15.75" customHeight="1" x14ac:dyDescent="0.3"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2"/>
      <c r="Y38" s="27"/>
      <c r="Z38" s="9"/>
      <c r="AA38" s="9"/>
      <c r="AB38" s="9"/>
    </row>
    <row r="39" spans="1:28" ht="15.75" customHeight="1" x14ac:dyDescent="0.25"/>
    <row r="40" spans="1:28" ht="15.75" customHeight="1" x14ac:dyDescent="0.25"/>
    <row r="41" spans="1:28" ht="15.75" customHeight="1" x14ac:dyDescent="0.25"/>
    <row r="42" spans="1:28" ht="15.75" customHeight="1" x14ac:dyDescent="0.25"/>
    <row r="43" spans="1:28" ht="15.75" customHeight="1" x14ac:dyDescent="0.25"/>
    <row r="44" spans="1:28" ht="15.75" customHeight="1" x14ac:dyDescent="0.25"/>
    <row r="45" spans="1:28" ht="15.75" customHeight="1" x14ac:dyDescent="0.25"/>
    <row r="46" spans="1:28" ht="15.75" customHeight="1" x14ac:dyDescent="0.25"/>
    <row r="47" spans="1:28" ht="15.75" customHeight="1" x14ac:dyDescent="0.25"/>
    <row r="48" spans="1:2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M2:R2"/>
    <mergeCell ref="T2:U2"/>
    <mergeCell ref="X2:Y2"/>
    <mergeCell ref="AA2:AB2"/>
  </mergeCells>
  <conditionalFormatting sqref="AA4:AA3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{6949D35B-B79A-454E-85ED-C11AAE7488B1}</x14:id>
        </ext>
      </extLst>
    </cfRule>
  </conditionalFormatting>
  <conditionalFormatting sqref="AB4:AB37">
    <cfRule type="cellIs" dxfId="23" priority="1" operator="equal">
      <formula>"Electronics"</formula>
    </cfRule>
  </conditionalFormatting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49D35B-B79A-454E-85ED-C11AAE7488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AA4:AA37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2025-07-15T08:35:59Z</dcterms:modified>
</cp:coreProperties>
</file>